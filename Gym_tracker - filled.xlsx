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1fee9cf825e243/Gym_Tracker_New/"/>
    </mc:Choice>
  </mc:AlternateContent>
  <xr:revisionPtr revIDLastSave="928" documentId="8_{4ECF7FCE-A3B5-448B-8557-012CE73F3188}" xr6:coauthVersionLast="47" xr6:coauthVersionMax="47" xr10:uidLastSave="{72D18857-DBF7-45B1-AA15-AF72C9C2BF36}"/>
  <bookViews>
    <workbookView xWindow="-120" yWindow="-120" windowWidth="38640" windowHeight="21240" xr2:uid="{BF25300C-D79F-4754-83D5-12186BB7E72E}"/>
  </bookViews>
  <sheets>
    <sheet name="Dashboard" sheetId="5" r:id="rId1"/>
    <sheet name="Sessions" sheetId="1" r:id="rId2"/>
    <sheet name="Exercises" sheetId="2" r:id="rId3"/>
    <sheet name="Performance" sheetId="4" r:id="rId4"/>
    <sheet name="Weight" sheetId="9" r:id="rId5"/>
    <sheet name="Body_measurements" sheetId="8" r:id="rId6"/>
    <sheet name="Mapping" sheetId="3" state="hidden" r:id="rId7"/>
  </sheets>
  <definedNames>
    <definedName name="_xlchart.v2.0" hidden="1">Dashboard!$G$18:$N$18</definedName>
    <definedName name="_xlchart.v2.1" hidden="1">Dashboard!$G$19:$N$19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5" l="1"/>
  <c r="I19" i="5"/>
  <c r="J19" i="5"/>
  <c r="K19" i="5"/>
  <c r="L19" i="5"/>
  <c r="M19" i="5"/>
  <c r="N19" i="5"/>
  <c r="G19" i="5"/>
  <c r="F19" i="5"/>
  <c r="H2" i="1"/>
  <c r="H3" i="1"/>
  <c r="H4" i="1"/>
  <c r="H5" i="1"/>
  <c r="H6" i="1"/>
  <c r="E50" i="5"/>
  <c r="F50" i="5"/>
  <c r="G50" i="5"/>
  <c r="H50" i="5"/>
  <c r="I50" i="5"/>
  <c r="J50" i="5"/>
  <c r="K50" i="5"/>
  <c r="L50" i="5"/>
  <c r="M50" i="5"/>
  <c r="N50" i="5"/>
  <c r="O50" i="5"/>
  <c r="D50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2" i="4"/>
  <c r="B62" i="4"/>
  <c r="N62" i="4" s="1"/>
  <c r="B63" i="4"/>
  <c r="B64" i="4"/>
  <c r="B65" i="4"/>
  <c r="L65" i="4" s="1"/>
  <c r="B66" i="4"/>
  <c r="B67" i="4"/>
  <c r="B68" i="4"/>
  <c r="B69" i="4"/>
  <c r="B70" i="4"/>
  <c r="B71" i="4"/>
  <c r="B72" i="4"/>
  <c r="M72" i="4" s="1"/>
  <c r="B73" i="4"/>
  <c r="B74" i="4"/>
  <c r="L74" i="4" s="1"/>
  <c r="B75" i="4"/>
  <c r="L75" i="4" s="1"/>
  <c r="B76" i="4"/>
  <c r="L76" i="4" s="1"/>
  <c r="B77" i="4"/>
  <c r="M77" i="4" s="1"/>
  <c r="B78" i="4"/>
  <c r="B79" i="4"/>
  <c r="B80" i="4"/>
  <c r="B81" i="4"/>
  <c r="L81" i="4" s="1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H62" i="4"/>
  <c r="H63" i="4"/>
  <c r="I63" i="4" s="1" a="1"/>
  <c r="I63" i="4" s="1"/>
  <c r="H64" i="4"/>
  <c r="I64" i="4" s="1" a="1"/>
  <c r="I64" i="4" s="1"/>
  <c r="H65" i="4"/>
  <c r="I65" i="4" s="1" a="1"/>
  <c r="I65" i="4" s="1"/>
  <c r="H66" i="4"/>
  <c r="I66" i="4" s="1" a="1"/>
  <c r="I66" i="4" s="1"/>
  <c r="H67" i="4"/>
  <c r="I67" i="4" s="1" a="1"/>
  <c r="I67" i="4" s="1"/>
  <c r="H68" i="4"/>
  <c r="I68" i="4" s="1" a="1"/>
  <c r="I68" i="4" s="1"/>
  <c r="H69" i="4"/>
  <c r="I69" i="4" s="1" a="1"/>
  <c r="I69" i="4" s="1"/>
  <c r="H70" i="4"/>
  <c r="I70" i="4" s="1" a="1"/>
  <c r="I70" i="4" s="1"/>
  <c r="H71" i="4"/>
  <c r="I71" i="4" s="1" a="1"/>
  <c r="I71" i="4" s="1"/>
  <c r="H72" i="4"/>
  <c r="H73" i="4"/>
  <c r="I73" i="4" s="1" a="1"/>
  <c r="I73" i="4" s="1"/>
  <c r="H74" i="4"/>
  <c r="I74" i="4" s="1" a="1"/>
  <c r="I74" i="4" s="1"/>
  <c r="H75" i="4"/>
  <c r="I75" i="4" s="1" a="1"/>
  <c r="I75" i="4" s="1"/>
  <c r="H76" i="4"/>
  <c r="I76" i="4" s="1" a="1"/>
  <c r="I76" i="4" s="1"/>
  <c r="H77" i="4"/>
  <c r="I77" i="4" s="1" a="1"/>
  <c r="I77" i="4" s="1"/>
  <c r="H78" i="4"/>
  <c r="I78" i="4" s="1" a="1"/>
  <c r="I78" i="4" s="1"/>
  <c r="H79" i="4"/>
  <c r="I79" i="4" s="1" a="1"/>
  <c r="I79" i="4" s="1"/>
  <c r="H80" i="4"/>
  <c r="I80" i="4" s="1" a="1"/>
  <c r="I80" i="4" s="1"/>
  <c r="H81" i="4"/>
  <c r="I81" i="4" s="1" a="1"/>
  <c r="I81" i="4" s="1"/>
  <c r="I62" i="4" a="1"/>
  <c r="I62" i="4" s="1"/>
  <c r="I72" i="4" a="1"/>
  <c r="I72" i="4" s="1"/>
  <c r="L63" i="4"/>
  <c r="L64" i="4"/>
  <c r="L66" i="4"/>
  <c r="L67" i="4"/>
  <c r="L68" i="4"/>
  <c r="L69" i="4"/>
  <c r="L70" i="4"/>
  <c r="L71" i="4"/>
  <c r="L72" i="4"/>
  <c r="L73" i="4"/>
  <c r="L78" i="4"/>
  <c r="L79" i="4"/>
  <c r="L80" i="4"/>
  <c r="M63" i="4"/>
  <c r="M64" i="4"/>
  <c r="M66" i="4"/>
  <c r="M67" i="4"/>
  <c r="M68" i="4"/>
  <c r="M69" i="4"/>
  <c r="M70" i="4"/>
  <c r="M71" i="4"/>
  <c r="M73" i="4"/>
  <c r="M78" i="4"/>
  <c r="M79" i="4"/>
  <c r="M80" i="4"/>
  <c r="N63" i="4"/>
  <c r="N64" i="4"/>
  <c r="N66" i="4"/>
  <c r="N67" i="4"/>
  <c r="N68" i="4"/>
  <c r="N69" i="4"/>
  <c r="N70" i="4"/>
  <c r="N71" i="4"/>
  <c r="N73" i="4"/>
  <c r="N75" i="4"/>
  <c r="N78" i="4"/>
  <c r="N79" i="4"/>
  <c r="N80" i="4"/>
  <c r="B42" i="4"/>
  <c r="N42" i="4" s="1"/>
  <c r="B43" i="4"/>
  <c r="L43" i="4" s="1"/>
  <c r="B44" i="4"/>
  <c r="L44" i="4" s="1"/>
  <c r="B45" i="4"/>
  <c r="M45" i="4" s="1"/>
  <c r="B46" i="4"/>
  <c r="L46" i="4" s="1"/>
  <c r="B47" i="4"/>
  <c r="B48" i="4"/>
  <c r="L48" i="4" s="1"/>
  <c r="B49" i="4"/>
  <c r="M49" i="4" s="1"/>
  <c r="B50" i="4"/>
  <c r="N50" i="4" s="1"/>
  <c r="B51" i="4"/>
  <c r="B52" i="4"/>
  <c r="L52" i="4" s="1"/>
  <c r="B53" i="4"/>
  <c r="M53" i="4" s="1"/>
  <c r="B54" i="4"/>
  <c r="L54" i="4" s="1"/>
  <c r="B55" i="4"/>
  <c r="N55" i="4" s="1"/>
  <c r="B56" i="4"/>
  <c r="L56" i="4" s="1"/>
  <c r="B57" i="4"/>
  <c r="N57" i="4" s="1"/>
  <c r="B58" i="4"/>
  <c r="N58" i="4" s="1"/>
  <c r="B59" i="4"/>
  <c r="L59" i="4" s="1"/>
  <c r="B60" i="4"/>
  <c r="N60" i="4" s="1"/>
  <c r="B61" i="4"/>
  <c r="M61" i="4" s="1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H42" i="4"/>
  <c r="I42" i="4" s="1" a="1"/>
  <c r="I42" i="4" s="1"/>
  <c r="H43" i="4"/>
  <c r="I43" i="4" s="1" a="1"/>
  <c r="I43" i="4" s="1"/>
  <c r="H44" i="4"/>
  <c r="I44" i="4" s="1" a="1"/>
  <c r="I44" i="4" s="1"/>
  <c r="H45" i="4"/>
  <c r="I45" i="4" s="1" a="1"/>
  <c r="I45" i="4" s="1"/>
  <c r="H46" i="4"/>
  <c r="I46" i="4" s="1" a="1"/>
  <c r="I46" i="4" s="1"/>
  <c r="H47" i="4"/>
  <c r="I47" i="4" s="1" a="1"/>
  <c r="I47" i="4" s="1"/>
  <c r="H48" i="4"/>
  <c r="I48" i="4" s="1" a="1"/>
  <c r="I48" i="4" s="1"/>
  <c r="H49" i="4"/>
  <c r="I49" i="4" s="1" a="1"/>
  <c r="I49" i="4" s="1"/>
  <c r="H50" i="4"/>
  <c r="I50" i="4" s="1" a="1"/>
  <c r="I50" i="4" s="1"/>
  <c r="H51" i="4"/>
  <c r="I51" i="4" s="1" a="1"/>
  <c r="I51" i="4" s="1"/>
  <c r="H52" i="4"/>
  <c r="I52" i="4" s="1" a="1"/>
  <c r="I52" i="4" s="1"/>
  <c r="H53" i="4"/>
  <c r="I53" i="4" s="1" a="1"/>
  <c r="I53" i="4" s="1"/>
  <c r="H54" i="4"/>
  <c r="I54" i="4" s="1" a="1"/>
  <c r="I54" i="4" s="1"/>
  <c r="H55" i="4"/>
  <c r="I55" i="4" s="1" a="1"/>
  <c r="I55" i="4" s="1"/>
  <c r="H56" i="4"/>
  <c r="I56" i="4" s="1" a="1"/>
  <c r="I56" i="4" s="1"/>
  <c r="H57" i="4"/>
  <c r="I57" i="4" s="1" a="1"/>
  <c r="I57" i="4" s="1"/>
  <c r="H58" i="4"/>
  <c r="I58" i="4" s="1" a="1"/>
  <c r="I58" i="4" s="1"/>
  <c r="H59" i="4"/>
  <c r="I59" i="4" s="1" a="1"/>
  <c r="I59" i="4" s="1"/>
  <c r="H60" i="4"/>
  <c r="I60" i="4" s="1" a="1"/>
  <c r="I60" i="4" s="1"/>
  <c r="H61" i="4"/>
  <c r="I61" i="4" s="1" a="1"/>
  <c r="I61" i="4" s="1"/>
  <c r="L47" i="4"/>
  <c r="L51" i="4"/>
  <c r="L60" i="4"/>
  <c r="M42" i="4"/>
  <c r="M43" i="4"/>
  <c r="M47" i="4"/>
  <c r="M51" i="4"/>
  <c r="M58" i="4"/>
  <c r="N46" i="4"/>
  <c r="N47" i="4"/>
  <c r="N48" i="4"/>
  <c r="N51" i="4"/>
  <c r="N54" i="4"/>
  <c r="B34" i="4"/>
  <c r="L34" i="4" s="1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H22" i="4"/>
  <c r="I22" i="4" s="1" a="1"/>
  <c r="I22" i="4" s="1"/>
  <c r="H23" i="4"/>
  <c r="I23" i="4" s="1" a="1"/>
  <c r="I23" i="4" s="1"/>
  <c r="H24" i="4"/>
  <c r="I24" i="4" s="1" a="1"/>
  <c r="I24" i="4" s="1"/>
  <c r="H25" i="4"/>
  <c r="I25" i="4" s="1" a="1"/>
  <c r="I25" i="4" s="1"/>
  <c r="H26" i="4"/>
  <c r="I26" i="4" s="1" a="1"/>
  <c r="I26" i="4" s="1"/>
  <c r="H27" i="4"/>
  <c r="I27" i="4" s="1" a="1"/>
  <c r="I27" i="4" s="1"/>
  <c r="H28" i="4"/>
  <c r="I28" i="4" s="1" a="1"/>
  <c r="I28" i="4" s="1"/>
  <c r="H29" i="4"/>
  <c r="I29" i="4" s="1" a="1"/>
  <c r="I29" i="4" s="1"/>
  <c r="H30" i="4"/>
  <c r="I30" i="4" s="1" a="1"/>
  <c r="I30" i="4" s="1"/>
  <c r="H31" i="4"/>
  <c r="I31" i="4" s="1" a="1"/>
  <c r="I31" i="4" s="1"/>
  <c r="H32" i="4"/>
  <c r="I32" i="4" s="1" a="1"/>
  <c r="I32" i="4" s="1"/>
  <c r="H33" i="4"/>
  <c r="I33" i="4" s="1" a="1"/>
  <c r="I33" i="4" s="1"/>
  <c r="H34" i="4"/>
  <c r="I34" i="4" s="1" a="1"/>
  <c r="I34" i="4" s="1"/>
  <c r="H35" i="4"/>
  <c r="I35" i="4" s="1" a="1"/>
  <c r="I35" i="4" s="1"/>
  <c r="H36" i="4"/>
  <c r="I36" i="4" s="1" a="1"/>
  <c r="I36" i="4" s="1"/>
  <c r="H37" i="4"/>
  <c r="I37" i="4" s="1" a="1"/>
  <c r="I37" i="4" s="1"/>
  <c r="H38" i="4"/>
  <c r="I38" i="4" s="1" a="1"/>
  <c r="I38" i="4" s="1"/>
  <c r="H39" i="4"/>
  <c r="I39" i="4" s="1" a="1"/>
  <c r="I39" i="4" s="1"/>
  <c r="H40" i="4"/>
  <c r="I40" i="4" s="1" a="1"/>
  <c r="I40" i="4" s="1"/>
  <c r="H41" i="4"/>
  <c r="I41" i="4" s="1" a="1"/>
  <c r="I41" i="4" s="1"/>
  <c r="K2" i="1"/>
  <c r="K3" i="1"/>
  <c r="K4" i="1"/>
  <c r="K5" i="1"/>
  <c r="K6" i="1"/>
  <c r="J2" i="1"/>
  <c r="J3" i="1"/>
  <c r="J4" i="1"/>
  <c r="J5" i="1"/>
  <c r="J6" i="1"/>
  <c r="H1" i="3" a="1"/>
  <c r="H1" i="3" s="1"/>
  <c r="A5" i="1" a="1"/>
  <c r="A5" i="1" s="1"/>
  <c r="A6" i="1" a="1"/>
  <c r="A6" i="1" s="1"/>
  <c r="G5" i="1"/>
  <c r="G6" i="1"/>
  <c r="I5" i="1"/>
  <c r="I6" i="1"/>
  <c r="I2" i="1"/>
  <c r="I3" i="1"/>
  <c r="I4" i="1"/>
  <c r="A4" i="1" a="1"/>
  <c r="A4" i="1" s="1"/>
  <c r="G4" i="1"/>
  <c r="A3" i="1" a="1"/>
  <c r="A3" i="1" s="1"/>
  <c r="G3" i="1"/>
  <c r="K21" i="4"/>
  <c r="H21" i="4"/>
  <c r="I21" i="4" s="1" a="1"/>
  <c r="I21" i="4" s="1"/>
  <c r="K20" i="4"/>
  <c r="H20" i="4"/>
  <c r="I20" i="4" s="1" a="1"/>
  <c r="I20" i="4" s="1"/>
  <c r="K19" i="4"/>
  <c r="H19" i="4"/>
  <c r="I19" i="4" s="1" a="1"/>
  <c r="I19" i="4" s="1"/>
  <c r="K17" i="4"/>
  <c r="K18" i="4"/>
  <c r="H17" i="4"/>
  <c r="I17" i="4" s="1" a="1"/>
  <c r="I17" i="4" s="1"/>
  <c r="H18" i="4"/>
  <c r="I18" i="4" s="1" a="1"/>
  <c r="I18" i="4" s="1"/>
  <c r="K16" i="4"/>
  <c r="H16" i="4"/>
  <c r="I16" i="4" s="1" a="1"/>
  <c r="I16" i="4" s="1"/>
  <c r="K14" i="4"/>
  <c r="K15" i="4"/>
  <c r="H14" i="4"/>
  <c r="I14" i="4" s="1" a="1"/>
  <c r="I14" i="4" s="1"/>
  <c r="H15" i="4"/>
  <c r="I15" i="4" s="1" a="1"/>
  <c r="I15" i="4" s="1"/>
  <c r="K13" i="4"/>
  <c r="H13" i="4"/>
  <c r="I13" i="4" s="1" a="1"/>
  <c r="I13" i="4" s="1"/>
  <c r="K11" i="4"/>
  <c r="K12" i="4"/>
  <c r="H11" i="4"/>
  <c r="I11" i="4" s="1" a="1"/>
  <c r="I11" i="4" s="1"/>
  <c r="H12" i="4"/>
  <c r="I12" i="4" s="1" a="1"/>
  <c r="I12" i="4" s="1"/>
  <c r="K10" i="4"/>
  <c r="H10" i="4"/>
  <c r="I10" i="4" s="1" a="1"/>
  <c r="I10" i="4" s="1"/>
  <c r="K7" i="4"/>
  <c r="K8" i="4"/>
  <c r="K9" i="4"/>
  <c r="H7" i="4"/>
  <c r="I7" i="4" s="1" a="1"/>
  <c r="I7" i="4" s="1"/>
  <c r="H8" i="4"/>
  <c r="I8" i="4" s="1" a="1"/>
  <c r="I8" i="4" s="1"/>
  <c r="H9" i="4"/>
  <c r="I9" i="4" s="1" a="1"/>
  <c r="I9" i="4" s="1"/>
  <c r="K6" i="4"/>
  <c r="H6" i="4"/>
  <c r="I6" i="4" s="1" a="1"/>
  <c r="I6" i="4" s="1"/>
  <c r="A93" i="2" a="1"/>
  <c r="A93" i="2" s="1"/>
  <c r="A114" i="2" a="1"/>
  <c r="A114" i="2" s="1"/>
  <c r="A9" i="2" a="1"/>
  <c r="A9" i="2" s="1"/>
  <c r="A4" i="2" a="1"/>
  <c r="A4" i="2" s="1"/>
  <c r="A5" i="2" a="1"/>
  <c r="A5" i="2" s="1"/>
  <c r="A6" i="2" a="1"/>
  <c r="A6" i="2" s="1"/>
  <c r="A7" i="2" a="1"/>
  <c r="A7" i="2" s="1"/>
  <c r="A8" i="2" a="1"/>
  <c r="A8" i="2" s="1"/>
  <c r="A10" i="2" a="1"/>
  <c r="A10" i="2" s="1"/>
  <c r="A11" i="2" a="1"/>
  <c r="A11" i="2" s="1"/>
  <c r="A12" i="2" a="1"/>
  <c r="A12" i="2" s="1"/>
  <c r="A13" i="2" a="1"/>
  <c r="A13" i="2" s="1"/>
  <c r="A14" i="2" a="1"/>
  <c r="A14" i="2" s="1"/>
  <c r="A15" i="2" a="1"/>
  <c r="A15" i="2" s="1"/>
  <c r="A16" i="2" a="1"/>
  <c r="A16" i="2" s="1"/>
  <c r="A17" i="2" a="1"/>
  <c r="A17" i="2" s="1"/>
  <c r="A18" i="2" a="1"/>
  <c r="A18" i="2" s="1"/>
  <c r="A19" i="2" a="1"/>
  <c r="A19" i="2" s="1"/>
  <c r="A20" i="2" a="1"/>
  <c r="A20" i="2" s="1"/>
  <c r="A21" i="2" a="1"/>
  <c r="A21" i="2" s="1"/>
  <c r="A22" i="2" a="1"/>
  <c r="A22" i="2" s="1"/>
  <c r="A23" i="2" a="1"/>
  <c r="A23" i="2" s="1"/>
  <c r="A24" i="2" a="1"/>
  <c r="A24" i="2" s="1"/>
  <c r="A25" i="2" a="1"/>
  <c r="A25" i="2" s="1"/>
  <c r="A26" i="2" a="1"/>
  <c r="A26" i="2" s="1"/>
  <c r="A27" i="2" a="1"/>
  <c r="A27" i="2" s="1"/>
  <c r="A28" i="2" a="1"/>
  <c r="A28" i="2" s="1"/>
  <c r="A29" i="2" a="1"/>
  <c r="A29" i="2" s="1"/>
  <c r="A30" i="2" a="1"/>
  <c r="A30" i="2" s="1"/>
  <c r="A31" i="2" a="1"/>
  <c r="A31" i="2" s="1"/>
  <c r="A32" i="2" a="1"/>
  <c r="A32" i="2" s="1"/>
  <c r="A33" i="2" a="1"/>
  <c r="A33" i="2" s="1"/>
  <c r="A34" i="2" a="1"/>
  <c r="A34" i="2" s="1"/>
  <c r="A35" i="2" a="1"/>
  <c r="A35" i="2" s="1"/>
  <c r="A36" i="2" a="1"/>
  <c r="A36" i="2" s="1"/>
  <c r="A37" i="2" a="1"/>
  <c r="A37" i="2" s="1"/>
  <c r="A38" i="2" a="1"/>
  <c r="A38" i="2" s="1"/>
  <c r="A39" i="2" a="1"/>
  <c r="A39" i="2" s="1"/>
  <c r="A40" i="2" a="1"/>
  <c r="A40" i="2" s="1"/>
  <c r="A41" i="2" a="1"/>
  <c r="A41" i="2" s="1"/>
  <c r="A42" i="2" a="1"/>
  <c r="A42" i="2" s="1"/>
  <c r="A43" i="2" a="1"/>
  <c r="A43" i="2" s="1"/>
  <c r="A44" i="2" a="1"/>
  <c r="A44" i="2" s="1"/>
  <c r="A45" i="2" a="1"/>
  <c r="A45" i="2" s="1"/>
  <c r="A46" i="2" a="1"/>
  <c r="A46" i="2" s="1"/>
  <c r="A47" i="2" a="1"/>
  <c r="A47" i="2" s="1"/>
  <c r="A48" i="2" a="1"/>
  <c r="A48" i="2" s="1"/>
  <c r="A49" i="2" a="1"/>
  <c r="A49" i="2" s="1"/>
  <c r="A50" i="2" a="1"/>
  <c r="A50" i="2" s="1"/>
  <c r="A51" i="2" a="1"/>
  <c r="A51" i="2" s="1"/>
  <c r="A52" i="2" a="1"/>
  <c r="A52" i="2" s="1"/>
  <c r="A53" i="2" a="1"/>
  <c r="A53" i="2" s="1"/>
  <c r="A54" i="2" a="1"/>
  <c r="A54" i="2" s="1"/>
  <c r="A55" i="2" a="1"/>
  <c r="A55" i="2" s="1"/>
  <c r="A56" i="2" a="1"/>
  <c r="A56" i="2" s="1"/>
  <c r="A57" i="2" a="1"/>
  <c r="A57" i="2" s="1"/>
  <c r="A58" i="2" a="1"/>
  <c r="A58" i="2" s="1"/>
  <c r="A59" i="2" a="1"/>
  <c r="A59" i="2" s="1"/>
  <c r="A60" i="2" a="1"/>
  <c r="A60" i="2" s="1"/>
  <c r="A61" i="2" a="1"/>
  <c r="A61" i="2" s="1"/>
  <c r="A62" i="2" a="1"/>
  <c r="A62" i="2" s="1"/>
  <c r="A63" i="2" a="1"/>
  <c r="A63" i="2" s="1"/>
  <c r="A64" i="2" a="1"/>
  <c r="A64" i="2" s="1"/>
  <c r="A65" i="2" a="1"/>
  <c r="A65" i="2" s="1"/>
  <c r="A66" i="2" a="1"/>
  <c r="A66" i="2" s="1"/>
  <c r="A67" i="2" a="1"/>
  <c r="A67" i="2" s="1"/>
  <c r="A68" i="2" a="1"/>
  <c r="A68" i="2" s="1"/>
  <c r="A69" i="2" a="1"/>
  <c r="A69" i="2" s="1"/>
  <c r="A70" i="2" a="1"/>
  <c r="A70" i="2" s="1"/>
  <c r="A71" i="2" a="1"/>
  <c r="A71" i="2" s="1"/>
  <c r="A72" i="2" a="1"/>
  <c r="A72" i="2" s="1"/>
  <c r="A73" i="2" a="1"/>
  <c r="A73" i="2" s="1"/>
  <c r="A74" i="2" a="1"/>
  <c r="A74" i="2" s="1"/>
  <c r="A75" i="2" a="1"/>
  <c r="A75" i="2" s="1"/>
  <c r="A76" i="2" a="1"/>
  <c r="A76" i="2" s="1"/>
  <c r="A77" i="2" a="1"/>
  <c r="A77" i="2" s="1"/>
  <c r="A78" i="2" a="1"/>
  <c r="A78" i="2" s="1"/>
  <c r="A79" i="2" a="1"/>
  <c r="A79" i="2" s="1"/>
  <c r="A80" i="2" a="1"/>
  <c r="A80" i="2" s="1"/>
  <c r="A81" i="2" a="1"/>
  <c r="A81" i="2" s="1"/>
  <c r="A82" i="2" a="1"/>
  <c r="A82" i="2" s="1"/>
  <c r="A83" i="2" a="1"/>
  <c r="A83" i="2" s="1"/>
  <c r="A84" i="2" a="1"/>
  <c r="A84" i="2" s="1"/>
  <c r="A85" i="2" a="1"/>
  <c r="A85" i="2" s="1"/>
  <c r="A86" i="2" a="1"/>
  <c r="A86" i="2" s="1"/>
  <c r="A87" i="2" a="1"/>
  <c r="A87" i="2" s="1"/>
  <c r="A88" i="2" a="1"/>
  <c r="A88" i="2" s="1"/>
  <c r="A89" i="2" a="1"/>
  <c r="A89" i="2" s="1"/>
  <c r="A90" i="2" a="1"/>
  <c r="A90" i="2" s="1"/>
  <c r="A91" i="2" a="1"/>
  <c r="A91" i="2" s="1"/>
  <c r="A92" i="2" a="1"/>
  <c r="A92" i="2" s="1"/>
  <c r="A94" i="2" a="1"/>
  <c r="A94" i="2" s="1"/>
  <c r="A95" i="2" a="1"/>
  <c r="A95" i="2" s="1"/>
  <c r="A96" i="2" a="1"/>
  <c r="A96" i="2" s="1"/>
  <c r="A97" i="2" a="1"/>
  <c r="A97" i="2" s="1"/>
  <c r="A98" i="2" a="1"/>
  <c r="A98" i="2" s="1"/>
  <c r="A99" i="2" a="1"/>
  <c r="A99" i="2" s="1"/>
  <c r="A100" i="2" a="1"/>
  <c r="A100" i="2" s="1"/>
  <c r="A101" i="2" a="1"/>
  <c r="A101" i="2" s="1"/>
  <c r="A102" i="2" a="1"/>
  <c r="A102" i="2" s="1"/>
  <c r="A103" i="2" a="1"/>
  <c r="A103" i="2" s="1"/>
  <c r="A104" i="2" a="1"/>
  <c r="A104" i="2" s="1"/>
  <c r="A105" i="2" a="1"/>
  <c r="A105" i="2" s="1"/>
  <c r="A106" i="2" a="1"/>
  <c r="A106" i="2" s="1"/>
  <c r="A107" i="2" a="1"/>
  <c r="A107" i="2" s="1"/>
  <c r="A108" i="2" a="1"/>
  <c r="A108" i="2" s="1"/>
  <c r="A109" i="2" a="1"/>
  <c r="A109" i="2" s="1"/>
  <c r="A110" i="2" a="1"/>
  <c r="A110" i="2" s="1"/>
  <c r="A111" i="2" a="1"/>
  <c r="A111" i="2" s="1"/>
  <c r="A112" i="2" a="1"/>
  <c r="A112" i="2" s="1"/>
  <c r="A113" i="2" a="1"/>
  <c r="A113" i="2" s="1"/>
  <c r="A115" i="2" a="1"/>
  <c r="A115" i="2" s="1"/>
  <c r="A116" i="2" a="1"/>
  <c r="A116" i="2" s="1"/>
  <c r="A117" i="2" a="1"/>
  <c r="A117" i="2" s="1"/>
  <c r="A118" i="2" a="1"/>
  <c r="A118" i="2" s="1"/>
  <c r="A119" i="2" a="1"/>
  <c r="A119" i="2" s="1"/>
  <c r="A120" i="2" a="1"/>
  <c r="A120" i="2" s="1"/>
  <c r="A121" i="2" a="1"/>
  <c r="A121" i="2" s="1"/>
  <c r="A122" i="2" a="1"/>
  <c r="A122" i="2" s="1"/>
  <c r="A123" i="2" a="1"/>
  <c r="A123" i="2" s="1"/>
  <c r="G2" i="1"/>
  <c r="A2" i="1" a="1"/>
  <c r="A2" i="1" s="1"/>
  <c r="B4" i="4" s="1"/>
  <c r="L4" i="4" s="1"/>
  <c r="K2" i="4"/>
  <c r="K3" i="4"/>
  <c r="K4" i="4"/>
  <c r="K5" i="4"/>
  <c r="A3" i="2" a="1"/>
  <c r="A3" i="2" s="1"/>
  <c r="A2" i="2" a="1"/>
  <c r="A2" i="2" s="1"/>
  <c r="H5" i="4"/>
  <c r="I5" i="4" s="1" a="1"/>
  <c r="I5" i="4" s="1"/>
  <c r="H2" i="4"/>
  <c r="I2" i="4" s="1" a="1"/>
  <c r="I2" i="4" s="1"/>
  <c r="H3" i="4"/>
  <c r="I3" i="4" s="1" a="1"/>
  <c r="I3" i="4" s="1"/>
  <c r="H4" i="4"/>
  <c r="I4" i="4" s="1" a="1"/>
  <c r="I4" i="4" s="1"/>
  <c r="L53" i="4" l="1"/>
  <c r="N43" i="4"/>
  <c r="N59" i="4"/>
  <c r="N53" i="4"/>
  <c r="L58" i="4"/>
  <c r="L77" i="4"/>
  <c r="N77" i="4"/>
  <c r="M60" i="4"/>
  <c r="M44" i="4"/>
  <c r="N49" i="4"/>
  <c r="L49" i="4"/>
  <c r="N44" i="4"/>
  <c r="N52" i="4"/>
  <c r="L42" i="4"/>
  <c r="M46" i="4"/>
  <c r="L57" i="4"/>
  <c r="L55" i="4"/>
  <c r="M59" i="4"/>
  <c r="M57" i="4"/>
  <c r="M55" i="4"/>
  <c r="M75" i="4"/>
  <c r="L62" i="4"/>
  <c r="M62" i="4"/>
  <c r="L61" i="4"/>
  <c r="M50" i="4"/>
  <c r="L50" i="4"/>
  <c r="M48" i="4"/>
  <c r="L45" i="4"/>
  <c r="N81" i="4"/>
  <c r="N65" i="4"/>
  <c r="M54" i="4"/>
  <c r="M81" i="4"/>
  <c r="M65" i="4"/>
  <c r="N76" i="4"/>
  <c r="M52" i="4"/>
  <c r="N74" i="4"/>
  <c r="N72" i="4"/>
  <c r="M76" i="4"/>
  <c r="N45" i="4"/>
  <c r="N61" i="4"/>
  <c r="M74" i="4"/>
  <c r="N56" i="4"/>
  <c r="M56" i="4"/>
  <c r="B37" i="4"/>
  <c r="L37" i="4" s="1"/>
  <c r="B36" i="4"/>
  <c r="L36" i="4" s="1"/>
  <c r="B35" i="4"/>
  <c r="L35" i="4" s="1"/>
  <c r="C1" i="3" a="1"/>
  <c r="C1" i="3" s="1"/>
  <c r="B32" i="4"/>
  <c r="L32" i="4" s="1"/>
  <c r="B33" i="4"/>
  <c r="L33" i="4" s="1"/>
  <c r="G9" i="5"/>
  <c r="B31" i="4"/>
  <c r="L31" i="4" s="1"/>
  <c r="B30" i="4"/>
  <c r="B29" i="4"/>
  <c r="N29" i="4" s="1"/>
  <c r="B28" i="4"/>
  <c r="B27" i="4"/>
  <c r="B26" i="4"/>
  <c r="B41" i="4"/>
  <c r="N41" i="4" s="1"/>
  <c r="B25" i="4"/>
  <c r="N25" i="4" s="1"/>
  <c r="B40" i="4"/>
  <c r="N40" i="4" s="1"/>
  <c r="B24" i="4"/>
  <c r="N24" i="4" s="1"/>
  <c r="B39" i="4"/>
  <c r="M39" i="4" s="1"/>
  <c r="B23" i="4"/>
  <c r="N23" i="4" s="1"/>
  <c r="B38" i="4"/>
  <c r="M38" i="4" s="1"/>
  <c r="B22" i="4"/>
  <c r="M34" i="4"/>
  <c r="N34" i="4"/>
  <c r="M4" i="4"/>
  <c r="N4" i="4"/>
  <c r="B19" i="4"/>
  <c r="B3" i="4"/>
  <c r="B18" i="4"/>
  <c r="B2" i="4"/>
  <c r="B17" i="4"/>
  <c r="B16" i="4"/>
  <c r="B15" i="4"/>
  <c r="B14" i="4"/>
  <c r="B13" i="4"/>
  <c r="B12" i="4"/>
  <c r="B11" i="4"/>
  <c r="B10" i="4"/>
  <c r="B9" i="4"/>
  <c r="B8" i="4"/>
  <c r="B7" i="4"/>
  <c r="B6" i="4"/>
  <c r="B21" i="4"/>
  <c r="B5" i="4"/>
  <c r="B20" i="4"/>
  <c r="J9" i="5"/>
  <c r="M9" i="5"/>
  <c r="M36" i="4" l="1"/>
  <c r="M37" i="4"/>
  <c r="N37" i="4"/>
  <c r="N36" i="4"/>
  <c r="N35" i="4"/>
  <c r="M35" i="4"/>
  <c r="M31" i="4"/>
  <c r="N33" i="4"/>
  <c r="N31" i="4"/>
  <c r="M33" i="4"/>
  <c r="M32" i="4"/>
  <c r="N32" i="4"/>
  <c r="M40" i="4"/>
  <c r="L40" i="4"/>
  <c r="L26" i="4"/>
  <c r="N26" i="4"/>
  <c r="L27" i="4"/>
  <c r="M27" i="4"/>
  <c r="N27" i="4"/>
  <c r="L28" i="4"/>
  <c r="N28" i="4"/>
  <c r="M28" i="4"/>
  <c r="L29" i="4"/>
  <c r="M29" i="4"/>
  <c r="L30" i="4"/>
  <c r="M30" i="4"/>
  <c r="N30" i="4"/>
  <c r="M26" i="4"/>
  <c r="M41" i="4"/>
  <c r="L41" i="4"/>
  <c r="M25" i="4"/>
  <c r="L25" i="4"/>
  <c r="N22" i="4"/>
  <c r="L22" i="4"/>
  <c r="M22" i="4"/>
  <c r="N38" i="4"/>
  <c r="L38" i="4"/>
  <c r="M23" i="4"/>
  <c r="L23" i="4"/>
  <c r="N39" i="4"/>
  <c r="L39" i="4"/>
  <c r="M24" i="4"/>
  <c r="L24" i="4"/>
  <c r="L11" i="4"/>
  <c r="M11" i="4"/>
  <c r="N11" i="4"/>
  <c r="L12" i="4"/>
  <c r="M12" i="4"/>
  <c r="N12" i="4"/>
  <c r="L13" i="4"/>
  <c r="M13" i="4"/>
  <c r="N13" i="4"/>
  <c r="L14" i="4"/>
  <c r="N14" i="4"/>
  <c r="M14" i="4"/>
  <c r="L15" i="4"/>
  <c r="N15" i="4"/>
  <c r="M15" i="4"/>
  <c r="L10" i="4"/>
  <c r="M10" i="4"/>
  <c r="N10" i="4"/>
  <c r="L16" i="4"/>
  <c r="N16" i="4"/>
  <c r="M16" i="4"/>
  <c r="L17" i="4"/>
  <c r="N17" i="4"/>
  <c r="M17" i="4"/>
  <c r="L2" i="4"/>
  <c r="N2" i="4"/>
  <c r="M2" i="4"/>
  <c r="L20" i="4"/>
  <c r="N20" i="4"/>
  <c r="M20" i="4"/>
  <c r="L18" i="4"/>
  <c r="N18" i="4"/>
  <c r="M18" i="4"/>
  <c r="L5" i="4"/>
  <c r="N5" i="4"/>
  <c r="M5" i="4"/>
  <c r="L3" i="4"/>
  <c r="N3" i="4"/>
  <c r="M3" i="4"/>
  <c r="L21" i="4"/>
  <c r="N21" i="4"/>
  <c r="M21" i="4"/>
  <c r="L19" i="4"/>
  <c r="N19" i="4"/>
  <c r="M19" i="4"/>
  <c r="L6" i="4"/>
  <c r="N6" i="4"/>
  <c r="M6" i="4"/>
  <c r="L7" i="4"/>
  <c r="N7" i="4"/>
  <c r="M7" i="4"/>
  <c r="L8" i="4"/>
  <c r="N8" i="4"/>
  <c r="M8" i="4"/>
  <c r="L9" i="4"/>
  <c r="M9" i="4"/>
  <c r="N9" i="4"/>
  <c r="L13" i="5"/>
  <c r="K13" i="5"/>
  <c r="H13" i="5"/>
  <c r="I13" i="5"/>
  <c r="I48" i="5" l="1"/>
  <c r="M47" i="5"/>
  <c r="J48" i="5"/>
  <c r="N47" i="5"/>
  <c r="K48" i="5"/>
  <c r="O47" i="5"/>
  <c r="L48" i="5"/>
  <c r="D47" i="5"/>
  <c r="E49" i="5"/>
  <c r="M48" i="5"/>
  <c r="F49" i="5"/>
  <c r="N48" i="5"/>
  <c r="G49" i="5"/>
  <c r="O48" i="5"/>
  <c r="H49" i="5"/>
  <c r="D48" i="5"/>
  <c r="L47" i="5"/>
  <c r="I49" i="5"/>
  <c r="E47" i="5"/>
  <c r="H48" i="5"/>
  <c r="J49" i="5"/>
  <c r="F47" i="5"/>
  <c r="K49" i="5"/>
  <c r="G47" i="5"/>
  <c r="L49" i="5"/>
  <c r="D49" i="5"/>
  <c r="H47" i="5"/>
  <c r="M49" i="5"/>
  <c r="E48" i="5"/>
  <c r="I47" i="5"/>
  <c r="N49" i="5"/>
  <c r="F48" i="5"/>
  <c r="J47" i="5"/>
  <c r="O49" i="5"/>
  <c r="G48" i="5"/>
  <c r="K4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<sst xmlns="http://schemas.openxmlformats.org/spreadsheetml/2006/main" count="450" uniqueCount="219">
  <si>
    <t>Session_ID</t>
  </si>
  <si>
    <t>Date</t>
  </si>
  <si>
    <t>Training_Name</t>
  </si>
  <si>
    <t>Start_Time</t>
  </si>
  <si>
    <t>End_Time</t>
  </si>
  <si>
    <t>Energy_Level</t>
  </si>
  <si>
    <t>Exercise_ID</t>
  </si>
  <si>
    <t>Exercise_Name</t>
  </si>
  <si>
    <t>Muscle_Group</t>
  </si>
  <si>
    <t>Equipment</t>
  </si>
  <si>
    <t>Exercises_Equipment</t>
  </si>
  <si>
    <t>Barbell</t>
  </si>
  <si>
    <t>Dumbbell</t>
  </si>
  <si>
    <t>Machine</t>
  </si>
  <si>
    <t>Cable</t>
  </si>
  <si>
    <t>Bodyweight</t>
  </si>
  <si>
    <t>Set_Number</t>
  </si>
  <si>
    <t>Weight</t>
  </si>
  <si>
    <t>Reps</t>
  </si>
  <si>
    <t>RPE</t>
  </si>
  <si>
    <t>Volume</t>
  </si>
  <si>
    <t>RIR</t>
  </si>
  <si>
    <t>MAX</t>
  </si>
  <si>
    <t>Very hard, almost max</t>
  </si>
  <si>
    <t>Hard</t>
  </si>
  <si>
    <t>Hard, but controlled</t>
  </si>
  <si>
    <t>Moderately heavy</t>
  </si>
  <si>
    <t>Warm-up / technic</t>
  </si>
  <si>
    <t>Detalis</t>
  </si>
  <si>
    <t>RPE_Detalis</t>
  </si>
  <si>
    <t>Training_Time</t>
  </si>
  <si>
    <t>Russian twist</t>
  </si>
  <si>
    <t>Abdominals</t>
  </si>
  <si>
    <t>Plank</t>
  </si>
  <si>
    <t>Hollow body</t>
  </si>
  <si>
    <t>Leg raises</t>
  </si>
  <si>
    <t>Machine core</t>
  </si>
  <si>
    <t>Reverse plank</t>
  </si>
  <si>
    <t>Crunches</t>
  </si>
  <si>
    <t>Leg raises: hanging</t>
  </si>
  <si>
    <t>Wheel</t>
  </si>
  <si>
    <t>Ball plank</t>
  </si>
  <si>
    <t>Roman bench Bend</t>
  </si>
  <si>
    <t>Crunches: bench</t>
  </si>
  <si>
    <t>Cable crunch</t>
  </si>
  <si>
    <t>Mountain Climbers</t>
  </si>
  <si>
    <t>Barbell swing</t>
  </si>
  <si>
    <t>Woodchoppers</t>
  </si>
  <si>
    <t>Side plank</t>
  </si>
  <si>
    <t>Crunches (reps/time in s)</t>
  </si>
  <si>
    <t>Pull ups</t>
  </si>
  <si>
    <t>Back muscles</t>
  </si>
  <si>
    <t>Bent Over Row</t>
  </si>
  <si>
    <t>Bent Over Dumbbell Row</t>
  </si>
  <si>
    <t>Lat Pull Down</t>
  </si>
  <si>
    <t>Y raise</t>
  </si>
  <si>
    <t>Machine seated cable row</t>
  </si>
  <si>
    <t>Dead Hang</t>
  </si>
  <si>
    <t>Machine seated cable row: one arm</t>
  </si>
  <si>
    <t>Bar overhang</t>
  </si>
  <si>
    <t>Chin up</t>
  </si>
  <si>
    <t>Chin up - machine</t>
  </si>
  <si>
    <t>Barbell Curl</t>
  </si>
  <si>
    <t>Biceps</t>
  </si>
  <si>
    <t>Dumbbell curl</t>
  </si>
  <si>
    <t>Dumbbell hammer curl</t>
  </si>
  <si>
    <t>Barbell biceps</t>
  </si>
  <si>
    <t>Bench press: standard</t>
  </si>
  <si>
    <t>Chest</t>
  </si>
  <si>
    <t>Chest fly</t>
  </si>
  <si>
    <t>Floor press</t>
  </si>
  <si>
    <t>Dumbbell Incline Bench Press</t>
  </si>
  <si>
    <t>Dumbbell Bench Press</t>
  </si>
  <si>
    <t>Low cable chest fly</t>
  </si>
  <si>
    <t>Dumbbell bench press: inicline</t>
  </si>
  <si>
    <t>Bridge press</t>
  </si>
  <si>
    <t>Machine chest press</t>
  </si>
  <si>
    <t>Roman bench</t>
  </si>
  <si>
    <t>Dragon flag</t>
  </si>
  <si>
    <t>One hand farmer walk</t>
  </si>
  <si>
    <t>FBW</t>
  </si>
  <si>
    <t>Thruster</t>
  </si>
  <si>
    <t>Burpees</t>
  </si>
  <si>
    <t>Foot on the ground</t>
  </si>
  <si>
    <t>Foot</t>
  </si>
  <si>
    <t>Forearms dumbbells</t>
  </si>
  <si>
    <t>Forearms</t>
  </si>
  <si>
    <t>Forearm curls</t>
  </si>
  <si>
    <t>Barbell wrist curl</t>
  </si>
  <si>
    <t>Barbell reverse curl</t>
  </si>
  <si>
    <t>Inverted row</t>
  </si>
  <si>
    <t>Reverse dumbbell curls</t>
  </si>
  <si>
    <t>Deadlift</t>
  </si>
  <si>
    <t>Fullbody</t>
  </si>
  <si>
    <t>Pike push up</t>
  </si>
  <si>
    <t>Hip thrust</t>
  </si>
  <si>
    <t>Glutes</t>
  </si>
  <si>
    <t>Glute crushers</t>
  </si>
  <si>
    <t>Hip thrust one leg</t>
  </si>
  <si>
    <t>Barbell squat</t>
  </si>
  <si>
    <t>Legs</t>
  </si>
  <si>
    <t>RDL</t>
  </si>
  <si>
    <t>Farmer walk</t>
  </si>
  <si>
    <t>Hamstring curl</t>
  </si>
  <si>
    <t xml:space="preserve">Smith squat </t>
  </si>
  <si>
    <t>Seated leg extension</t>
  </si>
  <si>
    <t>Hack squat</t>
  </si>
  <si>
    <t>Leg press</t>
  </si>
  <si>
    <t>Goblet squat</t>
  </si>
  <si>
    <t>Box squat</t>
  </si>
  <si>
    <t>Cyclist squat</t>
  </si>
  <si>
    <t>Seated leg curl</t>
  </si>
  <si>
    <t>Bulgarian squat</t>
  </si>
  <si>
    <t>OHP</t>
  </si>
  <si>
    <t>Shoulders</t>
  </si>
  <si>
    <t>Dumbbell overhead press</t>
  </si>
  <si>
    <t>Dumbbell Lateral Raise</t>
  </si>
  <si>
    <t>Face pull</t>
  </si>
  <si>
    <t>Shoulder wheel</t>
  </si>
  <si>
    <t>Landmine press</t>
  </si>
  <si>
    <t>Rear delt fly</t>
  </si>
  <si>
    <t>Machine T bar cable row</t>
  </si>
  <si>
    <t>Kettlebell push press</t>
  </si>
  <si>
    <t>Arnold press</t>
  </si>
  <si>
    <t>Shrugs</t>
  </si>
  <si>
    <t>Traps</t>
  </si>
  <si>
    <t>Dips</t>
  </si>
  <si>
    <t>Triceps</t>
  </si>
  <si>
    <t>Triceps cables: long head</t>
  </si>
  <si>
    <t>Triceps cables: push down</t>
  </si>
  <si>
    <t>Triceps dumbbbell: behind head</t>
  </si>
  <si>
    <t>Triceps bench: dumbbell</t>
  </si>
  <si>
    <t>Lying French Press</t>
  </si>
  <si>
    <t>Close grip bench press</t>
  </si>
  <si>
    <t>Dips - machine</t>
  </si>
  <si>
    <t xml:space="preserve">Deadlift straight legs </t>
  </si>
  <si>
    <t>Two-headed</t>
  </si>
  <si>
    <t>Facepull TRX</t>
  </si>
  <si>
    <t>Upper body</t>
  </si>
  <si>
    <t>Wrist circulation band</t>
  </si>
  <si>
    <t>Wrist</t>
  </si>
  <si>
    <t>Wrist curls band</t>
  </si>
  <si>
    <t>Wrist curls</t>
  </si>
  <si>
    <t>Wrist rotations</t>
  </si>
  <si>
    <t>Wall wrist stretch</t>
  </si>
  <si>
    <t>Grip squeezer</t>
  </si>
  <si>
    <t>Nordics</t>
  </si>
  <si>
    <t>A</t>
  </si>
  <si>
    <t>Machine Reverse Fly</t>
  </si>
  <si>
    <t>Allah curls</t>
  </si>
  <si>
    <t>Walking lunges</t>
  </si>
  <si>
    <t>Pallof press</t>
  </si>
  <si>
    <t>Carry overhead</t>
  </si>
  <si>
    <t>Triceps cables: gate</t>
  </si>
  <si>
    <t>Australian pull up</t>
  </si>
  <si>
    <t>Farmer walk: fingers</t>
  </si>
  <si>
    <t>Grip</t>
  </si>
  <si>
    <t>Zercher split squat</t>
  </si>
  <si>
    <t>Calf raises</t>
  </si>
  <si>
    <t>Cable chest press lying</t>
  </si>
  <si>
    <t>Hip bridge from the ground</t>
  </si>
  <si>
    <t>Front squat</t>
  </si>
  <si>
    <t>RDL one leg</t>
  </si>
  <si>
    <t>Cable hip adduction</t>
  </si>
  <si>
    <t>Barbell push press</t>
  </si>
  <si>
    <t>T-bar row</t>
  </si>
  <si>
    <t>Lying French Press: EZ bar</t>
  </si>
  <si>
    <t>Barbell curl: EZ bar</t>
  </si>
  <si>
    <t>Lateral raise bench supported</t>
  </si>
  <si>
    <t>Deadlift trap bar</t>
  </si>
  <si>
    <t>Push ups</t>
  </si>
  <si>
    <t>Session_Volume</t>
  </si>
  <si>
    <t>Abdominal wheel</t>
  </si>
  <si>
    <t>Number of sessions</t>
  </si>
  <si>
    <t>AVG training time</t>
  </si>
  <si>
    <t>Total training time</t>
  </si>
  <si>
    <t>TRAINING DASHBOARD</t>
  </si>
  <si>
    <t>YOUR PROGRESSION BEST FRIEND</t>
  </si>
  <si>
    <t>Year</t>
  </si>
  <si>
    <t>Month</t>
  </si>
  <si>
    <t>Day</t>
  </si>
  <si>
    <t>Sum of series</t>
  </si>
  <si>
    <t>Sum of reps</t>
  </si>
  <si>
    <t>Max reps</t>
  </si>
  <si>
    <t>Max weight</t>
  </si>
  <si>
    <t>Neck</t>
  </si>
  <si>
    <t>Waits</t>
  </si>
  <si>
    <t>Stomach</t>
  </si>
  <si>
    <t>Hips</t>
  </si>
  <si>
    <t>Thigh</t>
  </si>
  <si>
    <t>Calf</t>
  </si>
  <si>
    <t>Last body measurments</t>
  </si>
  <si>
    <t>Body weight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</si>
  <si>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</si>
  <si>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</si>
  <si>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</si>
  <si>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</si>
  <si>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</si>
  <si>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</si>
  <si>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</si>
  <si>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</si>
  <si>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</si>
  <si>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</si>
  <si>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</si>
  <si>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</si>
  <si>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Day_of_week</t>
  </si>
  <si>
    <t>Monday</t>
  </si>
  <si>
    <t>Tuesday</t>
  </si>
  <si>
    <t>Wednesday</t>
  </si>
  <si>
    <t>Thursday</t>
  </si>
  <si>
    <t>Friday</t>
  </si>
  <si>
    <t>Saturday</t>
  </si>
  <si>
    <t>Sunday</t>
  </si>
  <si>
    <t>Avg weight</t>
  </si>
  <si>
    <t>Avg volume</t>
  </si>
  <si>
    <t>Avg reps</t>
  </si>
  <si>
    <t>Avg series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</si>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</sst>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[$-F400]h:mm:ss\ AM/PM"/>
    <numFmt numFmtId="165" formatCode="0.0\ &quot;kg&quot;"/>
  </numFmts>
  <fonts count="16" x14ac:knownFonts="1">
    <font>
      <sz val="11"/>
      <color theme="1"/>
      <name val="Aptos Narrow"/>
      <family val="2"/>
      <charset val="238"/>
      <scheme val="minor"/>
    </font>
    <font>
      <sz val="11"/>
      <color theme="1"/>
      <name val="Segoe UI"/>
      <family val="2"/>
      <charset val="238"/>
    </font>
    <font>
      <sz val="14"/>
      <color theme="1"/>
      <name val="Aptos Narrow"/>
      <family val="2"/>
      <charset val="238"/>
      <scheme val="minor"/>
    </font>
    <font>
      <sz val="16"/>
      <color theme="1"/>
      <name val="Aptos Narrow"/>
      <family val="2"/>
      <charset val="238"/>
      <scheme val="minor"/>
    </font>
    <font>
      <b/>
      <sz val="3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theme="1"/>
      <name val="Aptos Narrow"/>
      <family val="2"/>
      <charset val="238"/>
      <scheme val="minor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0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6" tint="0.39997558519241921"/>
      </left>
      <right/>
      <top/>
      <bottom style="thin">
        <color theme="6" tint="0.39997558519241921"/>
      </bottom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9" fillId="2" borderId="1" applyNumberFormat="0" applyAlignment="0" applyProtection="0"/>
    <xf numFmtId="0" fontId="1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2" borderId="1" xfId="2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4" borderId="0" xfId="0" applyFill="1"/>
    <xf numFmtId="0" fontId="10" fillId="0" borderId="0" xfId="3"/>
    <xf numFmtId="14" fontId="12" fillId="0" borderId="0" xfId="3" applyNumberFormat="1" applyFont="1" applyAlignment="1">
      <alignment horizontal="center" vertical="center"/>
    </xf>
    <xf numFmtId="0" fontId="10" fillId="0" borderId="0" xfId="3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5" fontId="12" fillId="0" borderId="0" xfId="3" applyNumberFormat="1" applyFont="1" applyAlignment="1">
      <alignment horizontal="center" vertical="center"/>
    </xf>
    <xf numFmtId="2" fontId="15" fillId="0" borderId="0" xfId="0" applyNumberFormat="1" applyFont="1" applyAlignment="1">
      <alignment vertical="center"/>
    </xf>
    <xf numFmtId="43" fontId="13" fillId="0" borderId="0" xfId="1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2" borderId="6" xfId="2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Dane wejściowe" xfId="2" builtinId="20" customBuiltin="1"/>
    <cellStyle name="Dziesiętny" xfId="1" builtinId="3"/>
    <cellStyle name="Normalny" xfId="0" builtinId="0"/>
    <cellStyle name="Normalny 2" xfId="3" xr:uid="{DCB3CA26-98C3-4AFB-8685-84756936F552}"/>
  </cellStyles>
  <dxfs count="78">
    <dxf>
      <font>
        <b/>
        <i val="0"/>
      </font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border outline="0">
        <top style="thin">
          <color theme="6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\ &quot;kg&quot;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3" tint="0.24994659260841701"/>
        </patternFill>
      </fill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2" defaultTableStyle="Styl tabeli 1" defaultPivotStyle="PivotStyleLight16">
    <tableStyle name="Styl tabeli 1" pivot="0" count="3" xr9:uid="{51C3A20A-1F75-4464-A27F-79C3AA54FF7C}">
      <tableStyleElement type="wholeTable" dxfId="77"/>
      <tableStyleElement type="headerRow" dxfId="76"/>
      <tableStyleElement type="secondRowStripe" dxfId="75"/>
    </tableStyle>
    <tableStyle name="Styl tabeli 1 2" pivot="0" count="4" xr9:uid="{BB3A582C-5A6A-4CD0-9A61-A070CD9103E6}">
      <tableStyleElement type="wholeTable" dxfId="74"/>
      <tableStyleElement type="headerRow" dxfId="73"/>
      <tableStyleElement type="firstRowStripe" dxfId="72"/>
      <tableStyleElement type="secondRowStripe" dxfId="7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Weight!$B$1</c:f>
              <c:strCache>
                <c:ptCount val="1"/>
                <c:pt idx="0">
                  <c:v>Body weight</c:v>
                </c:pt>
              </c:strCache>
            </c:strRef>
          </c:tx>
          <c:spPr>
            <a:ln w="44450" cap="rnd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>
                  <a:alpha val="50000"/>
                </a:schemeClr>
              </a:solidFill>
              <a:ln w="9525">
                <a:noFill/>
              </a:ln>
              <a:effectLst/>
            </c:spPr>
          </c:marker>
          <c:dLbls>
            <c:delete val="1"/>
          </c:dLbls>
          <c:cat>
            <c:numRef>
              <c:f>Weight!$A$2:$A$12</c:f>
              <c:numCache>
                <c:formatCode>m/d/yyyy</c:formatCode>
                <c:ptCount val="11"/>
                <c:pt idx="0">
                  <c:v>45992</c:v>
                </c:pt>
                <c:pt idx="1">
                  <c:v>45995</c:v>
                </c:pt>
                <c:pt idx="2">
                  <c:v>46011</c:v>
                </c:pt>
                <c:pt idx="3">
                  <c:v>46012</c:v>
                </c:pt>
                <c:pt idx="4">
                  <c:v>46024</c:v>
                </c:pt>
                <c:pt idx="5">
                  <c:v>46025</c:v>
                </c:pt>
                <c:pt idx="6">
                  <c:v>46031</c:v>
                </c:pt>
                <c:pt idx="7">
                  <c:v>46040</c:v>
                </c:pt>
                <c:pt idx="8">
                  <c:v>46041</c:v>
                </c:pt>
                <c:pt idx="9">
                  <c:v>46046</c:v>
                </c:pt>
                <c:pt idx="10">
                  <c:v>46053</c:v>
                </c:pt>
              </c:numCache>
            </c:numRef>
          </c:cat>
          <c:val>
            <c:numRef>
              <c:f>Weight!$B$2:$B$12</c:f>
              <c:numCache>
                <c:formatCode>0.0\ "kg"</c:formatCode>
                <c:ptCount val="11"/>
                <c:pt idx="0">
                  <c:v>80</c:v>
                </c:pt>
                <c:pt idx="1">
                  <c:v>81</c:v>
                </c:pt>
                <c:pt idx="2">
                  <c:v>82</c:v>
                </c:pt>
                <c:pt idx="3">
                  <c:v>83</c:v>
                </c:pt>
                <c:pt idx="4">
                  <c:v>83.5</c:v>
                </c:pt>
                <c:pt idx="5">
                  <c:v>84</c:v>
                </c:pt>
                <c:pt idx="6">
                  <c:v>84</c:v>
                </c:pt>
                <c:pt idx="7">
                  <c:v>84.3</c:v>
                </c:pt>
                <c:pt idx="8">
                  <c:v>84.2</c:v>
                </c:pt>
                <c:pt idx="9">
                  <c:v>83.7</c:v>
                </c:pt>
                <c:pt idx="10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F3-427C-B0B5-ECBBC587555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258800640"/>
        <c:axId val="1258805920"/>
      </c:lineChart>
      <c:dateAx>
        <c:axId val="12588006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8805920"/>
        <c:crosses val="autoZero"/>
        <c:auto val="0"/>
        <c:lblOffset val="100"/>
        <c:baseTimeUnit val="days"/>
      </c:dateAx>
      <c:valAx>
        <c:axId val="1258805920"/>
        <c:scaling>
          <c:orientation val="minMax"/>
        </c:scaling>
        <c:delete val="0"/>
        <c:axPos val="l"/>
        <c:numFmt formatCode="0.0\ &quot;kg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58800640"/>
        <c:crosses val="autoZero"/>
        <c:crossBetween val="midCat"/>
        <c:majorUnit val="2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Dashboard!$C$48</c:f>
              <c:strCache>
                <c:ptCount val="1"/>
                <c:pt idx="0">
                  <c:v>Avg reps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Dashboard!$D$48:$O$48</c:f>
              <c:numCache>
                <c:formatCode>0</c:formatCode>
                <c:ptCount val="12"/>
                <c:pt idx="0">
                  <c:v>0</c:v>
                </c:pt>
                <c:pt idx="1">
                  <c:v>6.5</c:v>
                </c:pt>
                <c:pt idx="2">
                  <c:v>15.5</c:v>
                </c:pt>
                <c:pt idx="3">
                  <c:v>12.25</c:v>
                </c:pt>
                <c:pt idx="4">
                  <c:v>12.5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5-450E-BD27-D11F8CF6C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Dashboard!$C$49</c:f>
              <c:strCache>
                <c:ptCount val="1"/>
                <c:pt idx="0">
                  <c:v>Avg weight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Dashboard!$D$49:$O$49</c:f>
              <c:numCache>
                <c:formatCode>0.00</c:formatCode>
                <c:ptCount val="12"/>
                <c:pt idx="0">
                  <c:v>0</c:v>
                </c:pt>
                <c:pt idx="1">
                  <c:v>65</c:v>
                </c:pt>
                <c:pt idx="2">
                  <c:v>49.5</c:v>
                </c:pt>
                <c:pt idx="3">
                  <c:v>68</c:v>
                </c:pt>
                <c:pt idx="4">
                  <c:v>40.25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3-4295-8FAE-9C25D2C37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Dashboard!$C$50</c:f>
              <c:strCache>
                <c:ptCount val="1"/>
                <c:pt idx="0">
                  <c:v>Avg 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Dashboard!$D$50:$O$50</c:f>
              <c:numCache>
                <c:formatCode>0.00</c:formatCode>
                <c:ptCount val="12"/>
                <c:pt idx="0">
                  <c:v>0</c:v>
                </c:pt>
                <c:pt idx="1">
                  <c:v>405</c:v>
                </c:pt>
                <c:pt idx="2">
                  <c:v>800</c:v>
                </c:pt>
                <c:pt idx="3">
                  <c:v>900.25</c:v>
                </c:pt>
                <c:pt idx="4">
                  <c:v>612.5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D-409F-AB5D-9BCB656B25F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alpha val="7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Dashboard!$C$47</c:f>
              <c:strCache>
                <c:ptCount val="1"/>
                <c:pt idx="0">
                  <c:v>Avg series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Dashboard!$D$46:$O$46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Dashboard!$D$47:$O$47</c:f>
              <c:numCache>
                <c:formatCode>0</c:formatCode>
                <c:ptCount val="12"/>
                <c:pt idx="0">
                  <c:v>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2-4A06-A4B4-D4A3563B75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3297279"/>
        <c:axId val="1013312159"/>
      </c:barChart>
      <c:catAx>
        <c:axId val="101329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accent1">
                    <a:alpha val="8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13312159"/>
        <c:crosses val="autoZero"/>
        <c:auto val="1"/>
        <c:lblAlgn val="ctr"/>
        <c:lblOffset val="100"/>
        <c:noMultiLvlLbl val="0"/>
      </c:catAx>
      <c:valAx>
        <c:axId val="1013312159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013297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plotArea>
      <cx:plotAreaRegion>
        <cx:plotSurface>
          <cx:spPr>
            <a:ln>
              <a:noFill/>
            </a:ln>
          </cx:spPr>
        </cx:plotSurface>
        <cx:series layoutId="funnel" uniqueId="{435F3386-45EC-41E4-A8C9-616D495F89B3}" formatIdx="0">
          <cx:spPr>
            <a:solidFill>
              <a:schemeClr val="accent1">
                <a:alpha val="60000"/>
              </a:schemeClr>
            </a:solidFill>
            <a:ln>
              <a:noFill/>
            </a:ln>
            <a:effectLst>
              <a:softEdge rad="25400"/>
            </a:effectLst>
          </cx:spPr>
          <cx:dataLabels>
            <cx:numFmt formatCode="Standardowy" sourceLinked="0"/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1400">
                    <a:solidFill>
                      <a:schemeClr val="tx1">
                        <a:alpha val="50000"/>
                      </a:schemeClr>
                    </a:solidFill>
                    <a:latin typeface="Aptos" panose="020B0004020202020204" pitchFamily="34" charset="0"/>
                    <a:ea typeface="Aptos" panose="020B0004020202020204" pitchFamily="34" charset="0"/>
                    <a:cs typeface="Aptos" panose="020B0004020202020204" pitchFamily="34" charset="0"/>
                  </a:defRPr>
                </a:pPr>
                <a:endParaRPr lang="pl-PL" sz="1400" b="0" i="0" u="none" strike="noStrike" baseline="0">
                  <a:solidFill>
                    <a:schemeClr val="tx1">
                      <a:alpha val="50000"/>
                    </a:schemeClr>
                  </a:solidFill>
                  <a:latin typeface="Aptos" panose="020B0004020202020204" pitchFamily="34" charset="0"/>
                </a:endParaRPr>
              </a:p>
            </cx:txPr>
            <cx:visibility seriesName="0" categoryName="0" value="1"/>
            <cx:separator>, </cx:separator>
            <cx:dataLabel idx="1">
              <cx:numFmt formatCode="Standardowy" sourceLinked="0"/>
              <cx:spPr>
                <a:noFill/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1400">
                      <a:solidFill>
                        <a:sysClr val="windowText" lastClr="000000">
                          <a:alpha val="50000"/>
                        </a:sysClr>
                      </a:solidFill>
                    </a:defRPr>
                  </a:pPr>
                  <a:r>
                    <a:rPr lang="pl-PL" sz="1400" b="0" i="0" u="none" strike="noStrike" baseline="0">
                      <a:solidFill>
                        <a:sysClr val="windowText" lastClr="000000">
                          <a:alpha val="50000"/>
                        </a:sysClr>
                      </a:solidFill>
                      <a:latin typeface="Aptos" panose="020B0004020202020204" pitchFamily="34" charset="0"/>
                    </a:rPr>
                    <a:t>81</a:t>
                  </a:r>
                </a:p>
              </cx:txPr>
              <cx:visibility seriesName="0" categoryName="0" value="1"/>
              <cx:separator>, </cx:separator>
            </cx:dataLabel>
          </cx:dataLabels>
          <cx:dataId val="0"/>
        </cx:series>
      </cx:plotAreaRegion>
      <cx:axis id="0">
        <cx:catScaling gapWidth="0.0599999987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400">
                <a:solidFill>
                  <a:schemeClr val="tx1">
                    <a:alpha val="50000"/>
                  </a:schemeClr>
                </a:solidFill>
                <a:latin typeface="Aptos" panose="020B0004020202020204" pitchFamily="34" charset="0"/>
                <a:ea typeface="Aptos" panose="020B0004020202020204" pitchFamily="34" charset="0"/>
                <a:cs typeface="Aptos" panose="020B0004020202020204" pitchFamily="34" charset="0"/>
              </a:defRPr>
            </a:pPr>
            <a:endParaRPr lang="pl-PL" sz="1400" b="0" i="0" u="none" strike="noStrike" baseline="0">
              <a:solidFill>
                <a:schemeClr val="tx1">
                  <a:alpha val="50000"/>
                </a:schemeClr>
              </a:solidFill>
              <a:latin typeface="Aptos" panose="020B0004020202020204" pitchFamily="34" charset="0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hart" Target="../charts/chart2.xml"/><Relationship Id="rId3" Type="http://schemas.openxmlformats.org/officeDocument/2006/relationships/image" Target="../media/image3.png"/><Relationship Id="rId7" Type="http://schemas.microsoft.com/office/2014/relationships/chartEx" Target="../charts/chartEx1.xml"/><Relationship Id="rId12" Type="http://schemas.openxmlformats.org/officeDocument/2006/relationships/image" Target="../media/image10.svg"/><Relationship Id="rId2" Type="http://schemas.openxmlformats.org/officeDocument/2006/relationships/image" Target="../media/image2.svg"/><Relationship Id="rId16" Type="http://schemas.openxmlformats.org/officeDocument/2006/relationships/chart" Target="../charts/chart5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9.png"/><Relationship Id="rId5" Type="http://schemas.openxmlformats.org/officeDocument/2006/relationships/image" Target="../media/image5.png"/><Relationship Id="rId15" Type="http://schemas.openxmlformats.org/officeDocument/2006/relationships/chart" Target="../charts/chart4.xml"/><Relationship Id="rId10" Type="http://schemas.openxmlformats.org/officeDocument/2006/relationships/chart" Target="../charts/chart1.xml"/><Relationship Id="rId4" Type="http://schemas.openxmlformats.org/officeDocument/2006/relationships/image" Target="../media/image4.svg"/><Relationship Id="rId9" Type="http://schemas.openxmlformats.org/officeDocument/2006/relationships/image" Target="../media/image8.svg"/><Relationship Id="rId1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47625</xdr:colOff>
      <xdr:row>4</xdr:row>
      <xdr:rowOff>190500</xdr:rowOff>
    </xdr:to>
    <xdr:pic>
      <xdr:nvPicPr>
        <xdr:cNvPr id="7" name="Grafika 6" descr="Sygnał kontur">
          <a:extLst>
            <a:ext uri="{FF2B5EF4-FFF2-40B4-BE49-F238E27FC236}">
              <a16:creationId xmlns:a16="http://schemas.microsoft.com/office/drawing/2014/main" id="{530A1CD9-C51F-05AF-A4A8-CF32412F8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666875" cy="166687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571500</xdr:colOff>
      <xdr:row>10</xdr:row>
      <xdr:rowOff>19050</xdr:rowOff>
    </xdr:from>
    <xdr:to>
      <xdr:col>9</xdr:col>
      <xdr:colOff>1485900</xdr:colOff>
      <xdr:row>14</xdr:row>
      <xdr:rowOff>57150</xdr:rowOff>
    </xdr:to>
    <xdr:pic>
      <xdr:nvPicPr>
        <xdr:cNvPr id="9" name="Grafika 8" descr="Kulturysta kontur">
          <a:extLst>
            <a:ext uri="{FF2B5EF4-FFF2-40B4-BE49-F238E27FC236}">
              <a16:creationId xmlns:a16="http://schemas.microsoft.com/office/drawing/2014/main" id="{2EEFFA0B-6692-C2B3-4E51-0CA31906C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77450" y="28860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671475</xdr:colOff>
      <xdr:row>7</xdr:row>
      <xdr:rowOff>47625</xdr:rowOff>
    </xdr:from>
    <xdr:to>
      <xdr:col>11</xdr:col>
      <xdr:colOff>538125</xdr:colOff>
      <xdr:row>10</xdr:row>
      <xdr:rowOff>95250</xdr:rowOff>
    </xdr:to>
    <xdr:pic>
      <xdr:nvPicPr>
        <xdr:cNvPr id="11" name="Grafika 10" descr="Umięśnione ramię kontur">
          <a:extLst>
            <a:ext uri="{FF2B5EF4-FFF2-40B4-BE49-F238E27FC236}">
              <a16:creationId xmlns:a16="http://schemas.microsoft.com/office/drawing/2014/main" id="{542305AF-39A2-B49C-82E1-D5FC9F45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672850" y="1724025"/>
          <a:ext cx="914400" cy="914400"/>
        </a:xfrm>
        <a:prstGeom prst="rect">
          <a:avLst/>
        </a:prstGeom>
      </xdr:spPr>
    </xdr:pic>
    <xdr:clientData/>
  </xdr:twoCellAnchor>
  <xdr:twoCellAnchor>
    <xdr:from>
      <xdr:col>4</xdr:col>
      <xdr:colOff>238125</xdr:colOff>
      <xdr:row>20</xdr:row>
      <xdr:rowOff>85724</xdr:rowOff>
    </xdr:from>
    <xdr:to>
      <xdr:col>15</xdr:col>
      <xdr:colOff>212548</xdr:colOff>
      <xdr:row>39</xdr:row>
      <xdr:rowOff>123825</xdr:rowOff>
    </xdr:to>
    <xdr:grpSp>
      <xdr:nvGrpSpPr>
        <xdr:cNvPr id="14" name="Grupa 13">
          <a:extLst>
            <a:ext uri="{FF2B5EF4-FFF2-40B4-BE49-F238E27FC236}">
              <a16:creationId xmlns:a16="http://schemas.microsoft.com/office/drawing/2014/main" id="{A2BD8996-BD38-B3F2-7DCA-990D27A10A76}"/>
            </a:ext>
          </a:extLst>
        </xdr:cNvPr>
        <xdr:cNvGrpSpPr/>
      </xdr:nvGrpSpPr>
      <xdr:grpSpPr>
        <a:xfrm>
          <a:off x="3835213" y="5475753"/>
          <a:ext cx="14026600" cy="3803278"/>
          <a:chOff x="3476625" y="4943474"/>
          <a:chExt cx="13261798" cy="3800476"/>
        </a:xfrm>
      </xdr:grpSpPr>
      <xdr:grpSp>
        <xdr:nvGrpSpPr>
          <xdr:cNvPr id="4" name="Grupa 3">
            <a:extLst>
              <a:ext uri="{FF2B5EF4-FFF2-40B4-BE49-F238E27FC236}">
                <a16:creationId xmlns:a16="http://schemas.microsoft.com/office/drawing/2014/main" id="{1A8D8121-7ECA-B97A-FF54-0C471554EA04}"/>
              </a:ext>
            </a:extLst>
          </xdr:cNvPr>
          <xdr:cNvGrpSpPr/>
        </xdr:nvGrpSpPr>
        <xdr:grpSpPr>
          <a:xfrm>
            <a:off x="10113814" y="4943474"/>
            <a:ext cx="6624609" cy="3800476"/>
            <a:chOff x="6727468" y="4358664"/>
            <a:chExt cx="5543365" cy="3418845"/>
          </a:xfrm>
        </xdr:grpSpPr>
        <mc:AlternateContent xmlns:mc="http://schemas.openxmlformats.org/markup-compatibility/2006">
          <mc:Choice xmlns:cx2="http://schemas.microsoft.com/office/drawing/2015/10/21/chartex" Requires="cx2">
            <xdr:graphicFrame macro="">
              <xdr:nvGraphicFramePr>
                <xdr:cNvPr id="2" name="Wykres 1">
                  <a:extLst>
                    <a:ext uri="{FF2B5EF4-FFF2-40B4-BE49-F238E27FC236}">
                      <a16:creationId xmlns:a16="http://schemas.microsoft.com/office/drawing/2014/main" id="{6C80433D-8A3A-4EA6-B371-99647F96BD5D}"/>
                    </a:ext>
                  </a:extLst>
                </xdr:cNvPr>
                <xdr:cNvGraphicFramePr/>
              </xdr:nvGraphicFramePr>
              <xdr:xfrm>
                <a:off x="7667625" y="4867275"/>
                <a:ext cx="4603208" cy="2428874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7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7667625" y="4867275"/>
                  <a:ext cx="4603208" cy="2428874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l-PL" sz="1100"/>
                    <a:t>Ten wykres jest niedostępny w Twojej wersji programu Excel.
Edytowanie tego kształtu lub zapisanie tego skoroszytu w innym formacie pliku spowoduje trwałe uszkodzenie wykresu.</a:t>
                  </a:r>
                </a:p>
              </xdr:txBody>
            </xdr:sp>
          </mc:Fallback>
        </mc:AlternateContent>
        <xdr:pic>
          <xdr:nvPicPr>
            <xdr:cNvPr id="3" name="Grafika 2" descr="Mężczyzna z wypełnieniem pełnym">
              <a:extLst>
                <a:ext uri="{FF2B5EF4-FFF2-40B4-BE49-F238E27FC236}">
                  <a16:creationId xmlns:a16="http://schemas.microsoft.com/office/drawing/2014/main" id="{EF752EE0-3207-4835-998F-34E67E56B9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8">
              <a:extLst>
                <a:ext uri="{28A0092B-C50C-407E-A947-70E740481C1C}">
                  <a14:useLocalDpi xmlns:a14="http://schemas.microsoft.com/office/drawing/2010/main" val="0"/>
                </a:ext>
                <a:ext uri="{96DAC541-7B7A-43D3-8B79-37D633B846F1}">
                  <asvg:svgBlip xmlns:asvg="http://schemas.microsoft.com/office/drawing/2016/SVG/main" r:embed="rId9"/>
                </a:ext>
              </a:extLst>
            </a:blip>
            <a:stretch>
              <a:fillRect/>
            </a:stretch>
          </xdr:blipFill>
          <xdr:spPr>
            <a:xfrm>
              <a:off x="6727468" y="4358664"/>
              <a:ext cx="2800350" cy="3418845"/>
            </a:xfrm>
            <a:prstGeom prst="rect">
              <a:avLst/>
            </a:prstGeom>
          </xdr:spPr>
        </xdr:pic>
      </xdr:grpSp>
      <xdr:graphicFrame macro="">
        <xdr:nvGraphicFramePr>
          <xdr:cNvPr id="5" name="Wykres 4">
            <a:extLst>
              <a:ext uri="{FF2B5EF4-FFF2-40B4-BE49-F238E27FC236}">
                <a16:creationId xmlns:a16="http://schemas.microsoft.com/office/drawing/2014/main" id="{CAC83445-A333-4B69-B84C-A0D0B94B10BF}"/>
              </a:ext>
            </a:extLst>
          </xdr:cNvPr>
          <xdr:cNvGraphicFramePr>
            <a:graphicFrameLocks/>
          </xdr:cNvGraphicFramePr>
        </xdr:nvGraphicFramePr>
        <xdr:xfrm>
          <a:off x="3476625" y="5000625"/>
          <a:ext cx="6480000" cy="360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pic>
        <xdr:nvPicPr>
          <xdr:cNvPr id="13" name="Grafika 12" descr="Utrata wagi kontur">
            <a:extLst>
              <a:ext uri="{FF2B5EF4-FFF2-40B4-BE49-F238E27FC236}">
                <a16:creationId xmlns:a16="http://schemas.microsoft.com/office/drawing/2014/main" id="{5C6D7E71-E0BA-4152-4047-2C3946F90A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9421127" y="6677025"/>
            <a:ext cx="1437373" cy="143737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390525</xdr:colOff>
      <xdr:row>7</xdr:row>
      <xdr:rowOff>47625</xdr:rowOff>
    </xdr:from>
    <xdr:to>
      <xdr:col>8</xdr:col>
      <xdr:colOff>257175</xdr:colOff>
      <xdr:row>10</xdr:row>
      <xdr:rowOff>95250</xdr:rowOff>
    </xdr:to>
    <xdr:pic>
      <xdr:nvPicPr>
        <xdr:cNvPr id="15" name="Grafika 14" descr="Umięśnione ramię kontur">
          <a:extLst>
            <a:ext uri="{FF2B5EF4-FFF2-40B4-BE49-F238E27FC236}">
              <a16:creationId xmlns:a16="http://schemas.microsoft.com/office/drawing/2014/main" id="{6B21F407-010A-4483-BB92-EA012197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7200900" y="1724025"/>
          <a:ext cx="914400" cy="914400"/>
        </a:xfrm>
        <a:prstGeom prst="rect">
          <a:avLst/>
        </a:prstGeom>
      </xdr:spPr>
    </xdr:pic>
    <xdr:clientData/>
  </xdr:twoCellAnchor>
  <xdr:twoCellAnchor>
    <xdr:from>
      <xdr:col>2</xdr:col>
      <xdr:colOff>400050</xdr:colOff>
      <xdr:row>52</xdr:row>
      <xdr:rowOff>38100</xdr:rowOff>
    </xdr:from>
    <xdr:to>
      <xdr:col>15</xdr:col>
      <xdr:colOff>180975</xdr:colOff>
      <xdr:row>90</xdr:row>
      <xdr:rowOff>66675</xdr:rowOff>
    </xdr:to>
    <xdr:grpSp>
      <xdr:nvGrpSpPr>
        <xdr:cNvPr id="22" name="Grupa 21">
          <a:extLst>
            <a:ext uri="{FF2B5EF4-FFF2-40B4-BE49-F238E27FC236}">
              <a16:creationId xmlns:a16="http://schemas.microsoft.com/office/drawing/2014/main" id="{BB45386C-B48C-EF02-CF4C-1F1120E98A4A}"/>
            </a:ext>
          </a:extLst>
        </xdr:cNvPr>
        <xdr:cNvGrpSpPr/>
      </xdr:nvGrpSpPr>
      <xdr:grpSpPr>
        <a:xfrm>
          <a:off x="2013697" y="11905129"/>
          <a:ext cx="15816543" cy="7267575"/>
          <a:chOff x="2466975" y="11487150"/>
          <a:chExt cx="15763875" cy="7267575"/>
        </a:xfrm>
      </xdr:grpSpPr>
      <xdr:graphicFrame macro="">
        <xdr:nvGraphicFramePr>
          <xdr:cNvPr id="18" name="Wykres 17">
            <a:extLst>
              <a:ext uri="{FF2B5EF4-FFF2-40B4-BE49-F238E27FC236}">
                <a16:creationId xmlns:a16="http://schemas.microsoft.com/office/drawing/2014/main" id="{30869835-706C-4132-AB88-7095D2B8E924}"/>
              </a:ext>
            </a:extLst>
          </xdr:cNvPr>
          <xdr:cNvGraphicFramePr>
            <a:graphicFrameLocks/>
          </xdr:cNvGraphicFramePr>
        </xdr:nvGraphicFramePr>
        <xdr:xfrm>
          <a:off x="11144250" y="1148715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  <xdr:graphicFrame macro="">
        <xdr:nvGraphicFramePr>
          <xdr:cNvPr id="19" name="Wykres 18">
            <a:extLst>
              <a:ext uri="{FF2B5EF4-FFF2-40B4-BE49-F238E27FC236}">
                <a16:creationId xmlns:a16="http://schemas.microsoft.com/office/drawing/2014/main" id="{D54DA0AB-5BF2-4F20-96B7-AB036887AFB3}"/>
              </a:ext>
            </a:extLst>
          </xdr:cNvPr>
          <xdr:cNvGraphicFramePr>
            <a:graphicFrameLocks/>
          </xdr:cNvGraphicFramePr>
        </xdr:nvGraphicFramePr>
        <xdr:xfrm>
          <a:off x="2466975" y="1535430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4"/>
          </a:graphicData>
        </a:graphic>
      </xdr:graphicFrame>
      <xdr:graphicFrame macro="">
        <xdr:nvGraphicFramePr>
          <xdr:cNvPr id="20" name="Wykres 19">
            <a:extLst>
              <a:ext uri="{FF2B5EF4-FFF2-40B4-BE49-F238E27FC236}">
                <a16:creationId xmlns:a16="http://schemas.microsoft.com/office/drawing/2014/main" id="{6FA3B0B2-96E7-4C83-832D-5ADB2EC0FBD0}"/>
              </a:ext>
            </a:extLst>
          </xdr:cNvPr>
          <xdr:cNvGraphicFramePr>
            <a:graphicFrameLocks/>
          </xdr:cNvGraphicFramePr>
        </xdr:nvGraphicFramePr>
        <xdr:xfrm>
          <a:off x="11144250" y="1535430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5"/>
          </a:graphicData>
        </a:graphic>
      </xdr:graphicFrame>
      <xdr:graphicFrame macro="">
        <xdr:nvGraphicFramePr>
          <xdr:cNvPr id="21" name="Wykres 20">
            <a:extLst>
              <a:ext uri="{FF2B5EF4-FFF2-40B4-BE49-F238E27FC236}">
                <a16:creationId xmlns:a16="http://schemas.microsoft.com/office/drawing/2014/main" id="{0FCC42C5-6933-4309-8491-EA6DC1B16DB0}"/>
              </a:ext>
            </a:extLst>
          </xdr:cNvPr>
          <xdr:cNvGraphicFramePr>
            <a:graphicFrameLocks/>
          </xdr:cNvGraphicFramePr>
        </xdr:nvGraphicFramePr>
        <xdr:xfrm>
          <a:off x="2466975" y="11487150"/>
          <a:ext cx="7086600" cy="34004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6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</xdr:colOff>
      <xdr:row>1</xdr:row>
      <xdr:rowOff>0</xdr:rowOff>
    </xdr:from>
    <xdr:to>
      <xdr:col>17</xdr:col>
      <xdr:colOff>290607</xdr:colOff>
      <xdr:row>17</xdr:row>
      <xdr:rowOff>19499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E828776-52DC-4A5D-9556-3CB2C4A2E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15100" y="266700"/>
          <a:ext cx="4462557" cy="32198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13</xdr:row>
      <xdr:rowOff>0</xdr:rowOff>
    </xdr:from>
    <xdr:to>
      <xdr:col>5</xdr:col>
      <xdr:colOff>1019175</xdr:colOff>
      <xdr:row>25</xdr:row>
      <xdr:rowOff>161925</xdr:rowOff>
    </xdr:to>
    <xdr:sp macro="" textlink="">
      <xdr:nvSpPr>
        <xdr:cNvPr id="2" name="pole tekstowe 1">
          <a:extLst>
            <a:ext uri="{FF2B5EF4-FFF2-40B4-BE49-F238E27FC236}">
              <a16:creationId xmlns:a16="http://schemas.microsoft.com/office/drawing/2014/main" id="{F6F4E989-FB68-945E-0A9F-F50DEE24B3AA}"/>
            </a:ext>
          </a:extLst>
        </xdr:cNvPr>
        <xdr:cNvSpPr txBox="1"/>
      </xdr:nvSpPr>
      <xdr:spPr>
        <a:xfrm>
          <a:off x="476250" y="2476500"/>
          <a:ext cx="4133850" cy="2447925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l-PL" sz="2800">
              <a:solidFill>
                <a:schemeClr val="bg1"/>
              </a:solidFill>
            </a:rPr>
            <a:t>Be carefull</a:t>
          </a:r>
          <a:r>
            <a:rPr lang="pl-PL" sz="2800" baseline="0">
              <a:solidFill>
                <a:schemeClr val="bg1"/>
              </a:solidFill>
            </a:rPr>
            <a:t> with this sheet!</a:t>
          </a:r>
        </a:p>
        <a:p>
          <a:pPr algn="ctr"/>
          <a:r>
            <a:rPr lang="pl-PL" sz="2800" baseline="0">
              <a:solidFill>
                <a:schemeClr val="bg1"/>
              </a:solidFill>
            </a:rPr>
            <a:t>Changing something there can cause an errors.</a:t>
          </a:r>
          <a:endParaRPr lang="pl-PL" sz="2800">
            <a:solidFill>
              <a:schemeClr val="bg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6C9A5A-2139-4557-A7B0-0470080F9315}" name="Sessions" displayName="Sessions" ref="A1:K6" totalsRowShown="0" headerRowDxfId="70" dataDxfId="69">
  <autoFilter ref="A1:K6" xr:uid="{C16C9A5A-2139-4557-A7B0-0470080F93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69871F3-2FFA-4D25-88DD-4F3575357991}" name="Session_ID" dataDxfId="68">
      <calculatedColumnFormula array="1">ROW()-ROW(Sessions[#Headers])</calculatedColumnFormula>
    </tableColumn>
    <tableColumn id="2" xr3:uid="{591E5F87-9A7E-4772-B345-E4E84645E6C7}" name="Date" dataDxfId="67"/>
    <tableColumn id="3" xr3:uid="{D253FB31-F7C5-4DC6-9257-28FF45544B29}" name="Training_Name" dataDxfId="66"/>
    <tableColumn id="4" xr3:uid="{EDF3BE5A-82E9-4F7A-BDE4-A0E0B3979DB1}" name="Start_Time" dataDxfId="65"/>
    <tableColumn id="5" xr3:uid="{CD30243B-D451-4508-AB12-338453269C6E}" name="End_Time" dataDxfId="64"/>
    <tableColumn id="6" xr3:uid="{D49AD45D-FD8D-490B-914C-0FB814B1C89E}" name="Energy_Level" dataDxfId="63"/>
    <tableColumn id="7" xr3:uid="{04180D46-7E92-4F86-9EC3-B5B0FD4C81F4}" name="Training_Time" dataDxfId="62">
      <calculatedColumnFormula>Sessions[[#This Row],[End_Time]]-Sessions[[#This Row],[Start_Time]]</calculatedColumnFormula>
    </tableColumn>
    <tableColumn id="8" xr3:uid="{1BD92DBD-1176-4D99-B2CD-FFFA4BFD4147}" name="Session_Volume" dataDxfId="61">
      <calculatedColumnFormula>SUMIF(Performance[Session_ID],Sessions[[#This Row],[Session_ID]],Performance[Volume])</calculatedColumnFormula>
    </tableColumn>
    <tableColumn id="9" xr3:uid="{54B32C92-CBB0-421A-B317-CA629D48EB8A}" name="Year" dataDxfId="60">
      <calculatedColumnFormula>YEAR(Sessions[[#This Row],[Date]])</calculatedColumnFormula>
    </tableColumn>
    <tableColumn id="10" xr3:uid="{3EB3C753-9289-4D46-B156-A066D8559D43}" name="Month" dataDxfId="59">
      <calculatedColumnFormula>_xlfn.XLOOKUP(MONTH(Sessions[[#This Row],[Date]]),Mapping!$K$1:$K$12,Mapping!$L$1:$L$12)</calculatedColumnFormula>
    </tableColumn>
    <tableColumn id="11" xr3:uid="{FBFF7513-232F-4B9C-A9DA-D2AF40F4A8AA}" name="Day_of_week" dataDxfId="58">
      <calculatedColumnFormula>_xlfn.XLOOKUP(WEEKDAY(Sessions[[#This Row],[Date]]),Mapping!$N$1:$N$7,Mapping!$O$1:$O$7,)</calculatedColumnFormula>
    </tableColumn>
  </tableColumns>
  <tableStyleInfo name="Styl tabeli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60DC5-1A6C-45E9-9B39-688AF500D061}" name="Exercises" displayName="Exercises" ref="A1:D123" totalsRowShown="0" headerRowDxfId="57" dataDxfId="56">
  <autoFilter ref="A1:D123" xr:uid="{43060DC5-1A6C-45E9-9B39-688AF500D061}">
    <filterColumn colId="0" hiddenButton="1"/>
    <filterColumn colId="1" hiddenButton="1"/>
    <filterColumn colId="2" hiddenButton="1"/>
    <filterColumn colId="3" hiddenButton="1"/>
  </autoFilter>
  <tableColumns count="4">
    <tableColumn id="1" xr3:uid="{75D49388-13BD-46BF-8CF0-72DF7B749A40}" name="Exercise_ID" dataDxfId="55">
      <calculatedColumnFormula array="1">"EX-" &amp; TEXT(ROW()-ROW(Exercises[#Headers]),"000")</calculatedColumnFormula>
    </tableColumn>
    <tableColumn id="2" xr3:uid="{44379722-3035-4176-B318-138C0BF575DC}" name="Exercise_Name" dataDxfId="54"/>
    <tableColumn id="3" xr3:uid="{2BADD593-9149-4199-9B8C-CE13546684EE}" name="Muscle_Group" dataDxfId="53"/>
    <tableColumn id="5" xr3:uid="{8A51A649-DC19-4D0B-9321-5054710869BD}" name="Equipment" dataDxfId="52"/>
  </tableColumns>
  <tableStyleInfo name="Styl tabeli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E744B6-0A92-4588-A850-7AECBB00D8DC}" name="Performance" displayName="Performance" ref="A1:N81" headerRowDxfId="51" dataDxfId="50">
  <autoFilter ref="A1:N81" xr:uid="{25E744B6-0A92-4588-A850-7AECBB00D8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D2ACC224-8310-4298-BAAE-8A273DD34D2E}" name="Session_ID" totalsRowLabel="Suma" dataDxfId="49" totalsRowDxfId="48"/>
    <tableColumn id="11" xr3:uid="{F44A7C81-6C1A-4541-8A46-94DCB14B837F}" name="Date" dataDxfId="47" totalsRowDxfId="46">
      <calculatedColumnFormula>_xlfn.XLOOKUP(Performance[[#This Row],[Session_ID]],Sessions[Session_ID],Sessions[Date],"Not found")</calculatedColumnFormula>
    </tableColumn>
    <tableColumn id="3" xr3:uid="{7C5EDE35-4AB7-44B1-A18F-3CD7ACD339B2}" name="Exercise_Name" dataDxfId="45" totalsRowDxfId="44"/>
    <tableColumn id="4" xr3:uid="{1F69F301-279C-45C3-93D6-8009A61E368E}" name="Set_Number" dataDxfId="43" totalsRowDxfId="42"/>
    <tableColumn id="5" xr3:uid="{EA6DABFC-4B43-45FD-8911-E79B8FE69476}" name="Reps" dataDxfId="41" totalsRowDxfId="40"/>
    <tableColumn id="6" xr3:uid="{0C18C380-CBE3-4421-8AC3-09A5DA74BD10}" name="Weight" dataDxfId="39" totalsRowDxfId="38"/>
    <tableColumn id="9" xr3:uid="{1858B92E-38AD-4E5D-B186-B63FBE573BD8}" name="RIR" dataDxfId="37" totalsRowDxfId="36"/>
    <tableColumn id="7" xr3:uid="{331F280E-CAFC-4363-9495-C582D984E6FA}" name="RPE" dataDxfId="35" totalsRowDxfId="34">
      <calculatedColumnFormula>IF(Performance[[#This Row],[RIR]]="","",10-Performance[[#This Row],[RIR]])</calculatedColumnFormula>
    </tableColumn>
    <tableColumn id="10" xr3:uid="{3D05B920-9600-4651-B85B-811AB0FBCA65}" name="RPE_Detalis" totalsRowFunction="count" dataDxfId="33" totalsRowDxfId="32">
      <calculatedColumnFormula array="1">_xlfn.XLOOKUP(Performance[[#This Row],[RPE]],RPE_Detalis[[#All],[RPE]],RPE_Detalis[[#All],[Detalis]],"")</calculatedColumnFormula>
    </tableColumn>
    <tableColumn id="16" xr3:uid="{8B5E0682-8141-4F45-AEC8-59B5C4C289D7}" name="Volume" dataDxfId="31" totalsRowDxfId="30">
      <calculatedColumnFormula>Performance[[#This Row],[Reps]]*Performance[[#This Row],[Weight]]</calculatedColumnFormula>
    </tableColumn>
    <tableColumn id="15" xr3:uid="{B7AC825A-98C6-4E91-9C92-FA4CAFF5C732}" name="Exercise_ID" dataDxfId="29" totalsRowDxfId="28">
      <calculatedColumnFormula>_xlfn.XLOOKUP(Performance[[#This Row],[Exercise_Name]],Exercises[Exercise_Name],Exercises[Exercise_ID],"Not found")</calculatedColumnFormula>
    </tableColumn>
    <tableColumn id="12" xr3:uid="{C9A9DB08-478F-472A-88AB-28D6ACE7794D}" name="Year" dataDxfId="27" totalsRowDxfId="26">
      <calculatedColumnFormula>YEAR(Performance[[#This Row],[Date]])</calculatedColumnFormula>
    </tableColumn>
    <tableColumn id="13" xr3:uid="{E5F64A02-459E-4693-99DB-F71576CEF9B0}" name="Month" dataDxfId="25" totalsRowDxfId="24">
      <calculatedColumnFormula>_xlfn.XLOOKUP(MONTH(Performance[[#This Row],[Date]]),Mapping!$K$1:$K$12,Mapping!$L$1:$L$12)</calculatedColumnFormula>
    </tableColumn>
    <tableColumn id="14" xr3:uid="{A85CCDA6-086C-4B9E-9166-8870A9C71C2A}" name="Day" dataDxfId="23" totalsRowDxfId="22">
      <calculatedColumnFormula>_xlfn.XLOOKUP(WEEKDAY(Performance[[#This Row],[Date]]),Mapping!$N$1:$N$7,Mapping!$O$1:$O$7,)</calculatedColumnFormula>
    </tableColumn>
  </tableColumns>
  <tableStyleInfo name="Styl tabeli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960422-8BAD-4A03-8BE4-4214F485112E}" name="Tabela2" displayName="Tabela2" ref="A1:B12" headerRowDxfId="21" dataDxfId="20">
  <autoFilter ref="A1:B12" xr:uid="{CDBE1286-48FD-4568-9A3F-0D0632CA434A}"/>
  <tableColumns count="2">
    <tableColumn id="1" xr3:uid="{A3535F45-50C4-4A8E-BCEA-2E0867FC0705}" name="Date" totalsRowLabel="Suma" dataDxfId="19"/>
    <tableColumn id="2" xr3:uid="{A1F701A3-56CF-4AB8-9B23-DCCB93B4A2C3}" name="Body weight" totalsRowFunction="average" dataDxfId="18"/>
  </tableColumns>
  <tableStyleInfo name="Styl tabeli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AF3E97-772E-4A38-BF3C-713F52D46164}" name="Tabela5" displayName="Tabela5" ref="A1:I3" totalsRowShown="0" headerRowDxfId="17" dataDxfId="15" headerRowBorderDxfId="16" tableBorderDxfId="14">
  <autoFilter ref="A1:I3" xr:uid="{78C3551E-5F1D-4DB9-9DDE-CD1934FCA1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A3702A3-E36E-4E42-A73B-2C32CBAE4E61}" name="Date" dataDxfId="13"/>
    <tableColumn id="2" xr3:uid="{4115B959-3295-4B93-9D50-8C2709E11981}" name="Neck" dataDxfId="12"/>
    <tableColumn id="3" xr3:uid="{A9985917-C469-4F0B-935B-CAACDD75B650}" name="Chest" dataDxfId="11"/>
    <tableColumn id="4" xr3:uid="{9A970C20-C815-4C82-BF5F-86306B1A082E}" name="Biceps" dataDxfId="10"/>
    <tableColumn id="6" xr3:uid="{DDD3DCA4-E9E5-4D81-8A8B-856D35D70208}" name="Waits" dataDxfId="9"/>
    <tableColumn id="7" xr3:uid="{422E3DB2-A0E0-4F35-A21F-AB1DFEE85A08}" name="Stomach" dataDxfId="8"/>
    <tableColumn id="8" xr3:uid="{1CABD32C-B866-4CB9-8239-FEA592994A0E}" name="Hips" dataDxfId="7"/>
    <tableColumn id="9" xr3:uid="{86BCB218-0298-419F-92EC-FAA4D92430B4}" name="Thigh" dataDxfId="6"/>
    <tableColumn id="10" xr3:uid="{84AAA6CD-9F78-4FF7-AF33-DE4CAC85A721}" name="Calf" dataDxfId="5"/>
  </tableColumns>
  <tableStyleInfo name="Styl tabeli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F9BB15E-9421-47F3-BDE1-9DBE6CCA83E8}" name="RPE_Detalis" displayName="RPE_Detalis" ref="E1:F12" totalsRowShown="0" headerRowDxfId="4" dataDxfId="3">
  <autoFilter ref="E1:F12" xr:uid="{4F9BB15E-9421-47F3-BDE1-9DBE6CCA83E8}"/>
  <tableColumns count="2">
    <tableColumn id="1" xr3:uid="{4F1EA08F-1B33-4CBB-8EF3-DC6FB404E814}" name="RPE" dataDxfId="2"/>
    <tableColumn id="2" xr3:uid="{11DEEE92-265C-4487-A492-B30B55BE8081}" name="Detali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3B1EE-944B-4CF4-9C37-ACFF7A357270}">
  <sheetPr>
    <tabColor theme="3"/>
  </sheetPr>
  <dimension ref="A1:S50"/>
  <sheetViews>
    <sheetView showGridLines="0" tabSelected="1" zoomScale="85" zoomScaleNormal="85" workbookViewId="0">
      <pane ySplit="7" topLeftCell="A8" activePane="bottomLeft" state="frozen"/>
      <selection pane="bottomLeft" activeCell="N13" sqref="N13"/>
    </sheetView>
  </sheetViews>
  <sheetFormatPr defaultColWidth="0" defaultRowHeight="15" x14ac:dyDescent="0.25"/>
  <cols>
    <col min="1" max="2" width="12.140625" style="1" customWidth="1"/>
    <col min="3" max="3" width="14" style="1" bestFit="1" customWidth="1"/>
    <col min="4" max="5" width="15.7109375" style="1" customWidth="1"/>
    <col min="6" max="6" width="14.28515625" style="1" bestFit="1" customWidth="1"/>
    <col min="7" max="7" width="27.140625" style="1" customWidth="1"/>
    <col min="8" max="9" width="15.7109375" style="1" customWidth="1"/>
    <col min="10" max="10" width="31.42578125" style="1" bestFit="1" customWidth="1"/>
    <col min="11" max="12" width="15.7109375" style="1" customWidth="1"/>
    <col min="13" max="13" width="27.140625" style="1" customWidth="1"/>
    <col min="14" max="15" width="15.7109375" style="1" customWidth="1"/>
    <col min="16" max="19" width="12.140625" style="1" customWidth="1"/>
    <col min="20" max="16384" width="9.140625" style="1" hidden="1"/>
  </cols>
  <sheetData>
    <row r="1" spans="1:19" ht="52.5" customHeight="1" x14ac:dyDescent="0.25">
      <c r="A1" s="36" t="s">
        <v>176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19" ht="16.5" customHeight="1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25.5" customHeight="1" x14ac:dyDescent="0.25">
      <c r="A3" s="37" t="s">
        <v>177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</row>
    <row r="4" spans="1:19" ht="21.75" customHeight="1" x14ac:dyDescent="0.25">
      <c r="J4" s="9">
        <v>2026</v>
      </c>
    </row>
    <row r="5" spans="1:19" ht="21.75" customHeight="1" x14ac:dyDescent="0.25"/>
    <row r="6" spans="1:19" ht="21.75" customHeight="1" thickBot="1" x14ac:dyDescent="0.3">
      <c r="J6" s="35" t="s">
        <v>99</v>
      </c>
    </row>
    <row r="7" spans="1:19" s="12" customFormat="1" ht="15.75" thickBot="1" x14ac:dyDescent="0.3"/>
    <row r="8" spans="1:19" s="10" customFormat="1" ht="32.25" customHeight="1" thickBot="1" x14ac:dyDescent="0.3">
      <c r="G8" s="14" t="s">
        <v>173</v>
      </c>
      <c r="J8" s="34" t="s">
        <v>175</v>
      </c>
      <c r="L8" s="11"/>
      <c r="M8" s="14" t="s">
        <v>174</v>
      </c>
    </row>
    <row r="9" spans="1:19" ht="21" x14ac:dyDescent="0.25">
      <c r="G9" s="6">
        <f>COUNTIF(Sessions[Year],J4)</f>
        <v>5</v>
      </c>
      <c r="J9" s="7">
        <f>SUMIF(Sessions[Year],Dashboard!J4,Sessions[Training_Time])</f>
        <v>0.27430555555555547</v>
      </c>
      <c r="M9" s="7">
        <f>IFERROR(AVERAGEIF(Sessions[Year],J4,Sessions[Training_Time]),0)</f>
        <v>5.4861111111111097E-2</v>
      </c>
    </row>
    <row r="12" spans="1:19" s="5" customFormat="1" ht="19.5" thickBot="1" x14ac:dyDescent="0.3">
      <c r="H12" s="16" t="s">
        <v>181</v>
      </c>
      <c r="I12" s="16" t="s">
        <v>182</v>
      </c>
      <c r="K12" s="16" t="s">
        <v>183</v>
      </c>
      <c r="L12" s="16" t="s">
        <v>184</v>
      </c>
    </row>
    <row r="13" spans="1:19" s="5" customFormat="1" ht="19.5" thickBot="1" x14ac:dyDescent="0.3">
      <c r="H13" s="17">
        <f>COUNTIFS(Performance[Exercise_Name],Dashboard!$J$6,Performance[Year],Dashboard!$J$4)</f>
        <v>16</v>
      </c>
      <c r="I13" s="17">
        <f>SUMIFS(Performance[Reps],Performance[Exercise_Name],Dashboard!J6,Performance[Year],$J$4)</f>
        <v>187</v>
      </c>
      <c r="K13" s="17">
        <f>_xlfn.MAXIFS(Performance[Reps],Performance[Exercise_Name],Dashboard!$J$6,Performance[Year],$J$4)</f>
        <v>19</v>
      </c>
      <c r="L13" s="17">
        <f>_xlfn.MAXIFS(Performance[Weight],Performance[Exercise_Name],Dashboard!$J$6,Performance[Year],$J$4)</f>
        <v>100</v>
      </c>
    </row>
    <row r="17" spans="3:14" s="22" customFormat="1" ht="26.25" x14ac:dyDescent="0.25">
      <c r="J17" s="24" t="s">
        <v>191</v>
      </c>
    </row>
    <row r="18" spans="3:14" s="22" customFormat="1" ht="19.5" thickBot="1" x14ac:dyDescent="0.3">
      <c r="F18" s="23" t="s">
        <v>17</v>
      </c>
      <c r="G18" s="23" t="s">
        <v>185</v>
      </c>
      <c r="H18" s="23" t="s">
        <v>68</v>
      </c>
      <c r="I18" s="23" t="s">
        <v>63</v>
      </c>
      <c r="J18" s="23" t="s">
        <v>186</v>
      </c>
      <c r="K18" s="23" t="s">
        <v>187</v>
      </c>
      <c r="L18" s="23" t="s">
        <v>188</v>
      </c>
      <c r="M18" s="23" t="s">
        <v>189</v>
      </c>
      <c r="N18" s="23" t="s">
        <v>190</v>
      </c>
    </row>
    <row r="19" spans="3:14" s="22" customFormat="1" ht="18.75" x14ac:dyDescent="0.25">
      <c r="F19" s="27">
        <f>IFERROR(INDEX(Weight!B:B,MATCH(999999999999999,Weight!B:B)),0)</f>
        <v>83</v>
      </c>
      <c r="G19" s="22">
        <f>IFERROR(INDEX(Body_measurements!B:B,MATCH(9.99999999999999E+25,Body_measurements!B:B)),0)</f>
        <v>29</v>
      </c>
      <c r="H19" s="22">
        <f>IFERROR(INDEX(Body_measurements!C:C,MATCH(9.99999999999999E+25,Body_measurements!C:C)),0)</f>
        <v>81</v>
      </c>
      <c r="I19" s="22">
        <f>IFERROR(INDEX(Body_measurements!D:D,MATCH(9.99999999999999E+25,Body_measurements!D:D)),0)</f>
        <v>31</v>
      </c>
      <c r="J19" s="22">
        <f>IFERROR(INDEX(Body_measurements!E:E,MATCH(9.99999999999999E+25,Body_measurements!E:E)),0)</f>
        <v>71</v>
      </c>
      <c r="K19" s="22">
        <f>IFERROR(INDEX(Body_measurements!F:F,MATCH(9.99999999999999E+25,Body_measurements!F:F)),0)</f>
        <v>71</v>
      </c>
      <c r="L19" s="22">
        <f>IFERROR(INDEX(Body_measurements!G:G,MATCH(9.99999999999999E+25,Body_measurements!G:G)),0)</f>
        <v>71</v>
      </c>
      <c r="M19" s="22">
        <f>IFERROR(INDEX(Body_measurements!H:H,MATCH(9.99999999999999E+25,Body_measurements!H:H)),0)</f>
        <v>42</v>
      </c>
      <c r="N19" s="22">
        <f>IFERROR(INDEX(Body_measurements!I:I,MATCH(9.99999999999999E+25,Body_measurements!I:I)),0)</f>
        <v>31</v>
      </c>
    </row>
    <row r="22" spans="3:14" ht="26.25" x14ac:dyDescent="0.25">
      <c r="C22" s="38"/>
      <c r="D22" s="38"/>
      <c r="E22" s="38"/>
      <c r="F22" s="15"/>
    </row>
    <row r="23" spans="3:14" ht="15" customHeight="1" x14ac:dyDescent="0.25">
      <c r="D23" s="26"/>
      <c r="E23" s="26"/>
    </row>
    <row r="24" spans="3:14" ht="15" customHeight="1" x14ac:dyDescent="0.25">
      <c r="C24" s="26"/>
      <c r="D24" s="26"/>
      <c r="E24" s="26"/>
    </row>
    <row r="25" spans="3:14" ht="15" customHeight="1" x14ac:dyDescent="0.25">
      <c r="C25" s="26"/>
      <c r="D25" s="26"/>
      <c r="E25" s="26"/>
    </row>
    <row r="26" spans="3:14" ht="15" customHeight="1" x14ac:dyDescent="0.25">
      <c r="C26" s="26"/>
      <c r="D26" s="26"/>
      <c r="E26" s="26"/>
    </row>
    <row r="27" spans="3:14" ht="15" customHeight="1" x14ac:dyDescent="0.25">
      <c r="C27" s="26"/>
      <c r="D27" s="26"/>
      <c r="E27" s="26"/>
    </row>
    <row r="46" spans="3:15" s="22" customFormat="1" ht="19.5" thickBot="1" x14ac:dyDescent="0.3">
      <c r="D46" s="23" t="s">
        <v>193</v>
      </c>
      <c r="E46" s="23" t="s">
        <v>194</v>
      </c>
      <c r="F46" s="23" t="s">
        <v>195</v>
      </c>
      <c r="G46" s="23" t="s">
        <v>196</v>
      </c>
      <c r="H46" s="23" t="s">
        <v>197</v>
      </c>
      <c r="I46" s="23" t="s">
        <v>198</v>
      </c>
      <c r="J46" s="23" t="s">
        <v>199</v>
      </c>
      <c r="K46" s="23" t="s">
        <v>200</v>
      </c>
      <c r="L46" s="23" t="s">
        <v>201</v>
      </c>
      <c r="M46" s="23" t="s">
        <v>202</v>
      </c>
      <c r="N46" s="23" t="s">
        <v>203</v>
      </c>
      <c r="O46" s="23" t="s">
        <v>204</v>
      </c>
    </row>
    <row r="47" spans="3:15" s="22" customFormat="1" ht="18.75" x14ac:dyDescent="0.25">
      <c r="C47" s="31" t="s">
        <v>216</v>
      </c>
      <c r="D47" s="33">
        <f>COUNTIFS(Performance[[Exercise_Name]:[Exercise_Name]],Dashboard!$J$6,Performance[[Year]:[Year]],Dashboard!$J$4,Performance[[Month]:[Month]],D$46)</f>
        <v>0</v>
      </c>
      <c r="E47" s="33">
        <f>COUNTIFS(Performance[[Exercise_Name]:[Exercise_Name]],Dashboard!$J$6,Performance[[Year]:[Year]],Dashboard!$J$4,Performance[[Month]:[Month]],E$46)</f>
        <v>4</v>
      </c>
      <c r="F47" s="33">
        <f>COUNTIFS(Performance[[Exercise_Name]:[Exercise_Name]],Dashboard!$J$6,Performance[[Year]:[Year]],Dashboard!$J$4,Performance[[Month]:[Month]],F$46)</f>
        <v>4</v>
      </c>
      <c r="G47" s="33">
        <f>COUNTIFS(Performance[[Exercise_Name]:[Exercise_Name]],Dashboard!$J$6,Performance[[Year]:[Year]],Dashboard!$J$4,Performance[[Month]:[Month]],G$46)</f>
        <v>4</v>
      </c>
      <c r="H47" s="33">
        <f>COUNTIFS(Performance[[Exercise_Name]:[Exercise_Name]],Dashboard!$J$6,Performance[[Year]:[Year]],Dashboard!$J$4,Performance[[Month]:[Month]],H$46)</f>
        <v>4</v>
      </c>
      <c r="I47" s="33">
        <f>COUNTIFS(Performance[[Exercise_Name]:[Exercise_Name]],Dashboard!$J$6,Performance[[Year]:[Year]],Dashboard!$J$4,Performance[[Month]:[Month]],I$46)</f>
        <v>0</v>
      </c>
      <c r="J47" s="33">
        <f>COUNTIFS(Performance[[Exercise_Name]:[Exercise_Name]],Dashboard!$J$6,Performance[[Year]:[Year]],Dashboard!$J$4,Performance[[Month]:[Month]],J$46)</f>
        <v>0</v>
      </c>
      <c r="K47" s="33">
        <f>COUNTIFS(Performance[[Exercise_Name]:[Exercise_Name]],Dashboard!$J$6,Performance[[Year]:[Year]],Dashboard!$J$4,Performance[[Month]:[Month]],K$46)</f>
        <v>0</v>
      </c>
      <c r="L47" s="33">
        <f>COUNTIFS(Performance[[Exercise_Name]:[Exercise_Name]],Dashboard!$J$6,Performance[[Year]:[Year]],Dashboard!$J$4,Performance[[Month]:[Month]],L$46)</f>
        <v>0</v>
      </c>
      <c r="M47" s="33">
        <f>COUNTIFS(Performance[[Exercise_Name]:[Exercise_Name]],Dashboard!$J$6,Performance[[Year]:[Year]],Dashboard!$J$4,Performance[[Month]:[Month]],M$46)</f>
        <v>0</v>
      </c>
      <c r="N47" s="33">
        <f>COUNTIFS(Performance[[Exercise_Name]:[Exercise_Name]],Dashboard!$J$6,Performance[[Year]:[Year]],Dashboard!$J$4,Performance[[Month]:[Month]],N$46)</f>
        <v>0</v>
      </c>
      <c r="O47" s="33">
        <f>COUNTIFS(Performance[[Exercise_Name]:[Exercise_Name]],Dashboard!$J$6,Performance[[Year]:[Year]],Dashboard!$J$4,Performance[[Month]:[Month]],O$46)</f>
        <v>0</v>
      </c>
    </row>
    <row r="48" spans="3:15" s="22" customFormat="1" ht="18.75" x14ac:dyDescent="0.25">
      <c r="C48" s="31" t="s">
        <v>215</v>
      </c>
      <c r="D48" s="33">
        <f>IFERROR(AVERAGEIFS(Performance[[Reps]:[Reps]],Performance[[Exercise_Name]:[Exercise_Name]],$J$6,Performance[[Year]:[Year]],$J$4,Performance[[Month]:[Month]],D$46),0)</f>
        <v>0</v>
      </c>
      <c r="E48" s="33">
        <f>IFERROR(AVERAGEIFS(Performance[[Reps]:[Reps]],Performance[[Exercise_Name]:[Exercise_Name]],$J$6,Performance[[Year]:[Year]],$J$4,Performance[[Month]:[Month]],E$46),0)</f>
        <v>6.5</v>
      </c>
      <c r="F48" s="33">
        <f>IFERROR(AVERAGEIFS(Performance[[Reps]:[Reps]],Performance[[Exercise_Name]:[Exercise_Name]],$J$6,Performance[[Year]:[Year]],$J$4,Performance[[Month]:[Month]],F$46),0)</f>
        <v>15.5</v>
      </c>
      <c r="G48" s="33">
        <f>IFERROR(AVERAGEIFS(Performance[[Reps]:[Reps]],Performance[[Exercise_Name]:[Exercise_Name]],$J$6,Performance[[Year]:[Year]],$J$4,Performance[[Month]:[Month]],G$46),0)</f>
        <v>12.25</v>
      </c>
      <c r="H48" s="33">
        <f>IFERROR(AVERAGEIFS(Performance[[Reps]:[Reps]],Performance[[Exercise_Name]:[Exercise_Name]],$J$6,Performance[[Year]:[Year]],$J$4,Performance[[Month]:[Month]],H$46),0)</f>
        <v>12.5</v>
      </c>
      <c r="I48" s="33">
        <f>IFERROR(AVERAGEIFS(Performance[[Reps]:[Reps]],Performance[[Exercise_Name]:[Exercise_Name]],$J$6,Performance[[Year]:[Year]],$J$4,Performance[[Month]:[Month]],I$46),0)</f>
        <v>0</v>
      </c>
      <c r="J48" s="33">
        <f>IFERROR(AVERAGEIFS(Performance[[Reps]:[Reps]],Performance[[Exercise_Name]:[Exercise_Name]],$J$6,Performance[[Year]:[Year]],$J$4,Performance[[Month]:[Month]],J$46),0)</f>
        <v>0</v>
      </c>
      <c r="K48" s="33">
        <f>IFERROR(AVERAGEIFS(Performance[[Reps]:[Reps]],Performance[[Exercise_Name]:[Exercise_Name]],$J$6,Performance[[Year]:[Year]],$J$4,Performance[[Month]:[Month]],K$46),0)</f>
        <v>0</v>
      </c>
      <c r="L48" s="33">
        <f>IFERROR(AVERAGEIFS(Performance[[Reps]:[Reps]],Performance[[Exercise_Name]:[Exercise_Name]],$J$6,Performance[[Year]:[Year]],$J$4,Performance[[Month]:[Month]],L$46),0)</f>
        <v>0</v>
      </c>
      <c r="M48" s="33">
        <f>IFERROR(AVERAGEIFS(Performance[[Reps]:[Reps]],Performance[[Exercise_Name]:[Exercise_Name]],$J$6,Performance[[Year]:[Year]],$J$4,Performance[[Month]:[Month]],M$46),0)</f>
        <v>0</v>
      </c>
      <c r="N48" s="33">
        <f>IFERROR(AVERAGEIFS(Performance[[Reps]:[Reps]],Performance[[Exercise_Name]:[Exercise_Name]],$J$6,Performance[[Year]:[Year]],$J$4,Performance[[Month]:[Month]],N$46),0)</f>
        <v>0</v>
      </c>
      <c r="O48" s="33">
        <f>IFERROR(AVERAGEIFS(Performance[[Reps]:[Reps]],Performance[[Exercise_Name]:[Exercise_Name]],$J$6,Performance[[Year]:[Year]],$J$4,Performance[[Month]:[Month]],O$46),0)</f>
        <v>0</v>
      </c>
    </row>
    <row r="49" spans="3:15" s="22" customFormat="1" ht="18.75" x14ac:dyDescent="0.25">
      <c r="C49" s="31" t="s">
        <v>213</v>
      </c>
      <c r="D49" s="32">
        <f>IFERROR(AVERAGEIFS(Performance[[Weight]:[Weight]],Performance[[Exercise_Name]:[Exercise_Name]],$J$6,Performance[[Year]:[Year]],$J$4,Performance[[Month]:[Month]],D$46),0)</f>
        <v>0</v>
      </c>
      <c r="E49" s="32">
        <f>IFERROR(AVERAGEIFS(Performance[[Weight]:[Weight]],Performance[[Exercise_Name]:[Exercise_Name]],$J$6,Performance[[Year]:[Year]],$J$4,Performance[[Month]:[Month]],E$46),0)</f>
        <v>65</v>
      </c>
      <c r="F49" s="32">
        <f>IFERROR(AVERAGEIFS(Performance[[Weight]:[Weight]],Performance[[Exercise_Name]:[Exercise_Name]],$J$6,Performance[[Year]:[Year]],$J$4,Performance[[Month]:[Month]],F$46),0)</f>
        <v>49.5</v>
      </c>
      <c r="G49" s="32">
        <f>IFERROR(AVERAGEIFS(Performance[[Weight]:[Weight]],Performance[[Exercise_Name]:[Exercise_Name]],$J$6,Performance[[Year]:[Year]],$J$4,Performance[[Month]:[Month]],G$46),0)</f>
        <v>68</v>
      </c>
      <c r="H49" s="32">
        <f>IFERROR(AVERAGEIFS(Performance[[Weight]:[Weight]],Performance[[Exercise_Name]:[Exercise_Name]],$J$6,Performance[[Year]:[Year]],$J$4,Performance[[Month]:[Month]],H$46),0)</f>
        <v>40.25</v>
      </c>
      <c r="I49" s="32">
        <f>IFERROR(AVERAGEIFS(Performance[[Weight]:[Weight]],Performance[[Exercise_Name]:[Exercise_Name]],$J$6,Performance[[Year]:[Year]],$J$4,Performance[[Month]:[Month]],I$46),0)</f>
        <v>0</v>
      </c>
      <c r="J49" s="32">
        <f>IFERROR(AVERAGEIFS(Performance[[Weight]:[Weight]],Performance[[Exercise_Name]:[Exercise_Name]],$J$6,Performance[[Year]:[Year]],$J$4,Performance[[Month]:[Month]],J$46),0)</f>
        <v>0</v>
      </c>
      <c r="K49" s="32">
        <f>IFERROR(AVERAGEIFS(Performance[[Weight]:[Weight]],Performance[[Exercise_Name]:[Exercise_Name]],$J$6,Performance[[Year]:[Year]],$J$4,Performance[[Month]:[Month]],K$46),0)</f>
        <v>0</v>
      </c>
      <c r="L49" s="32">
        <f>IFERROR(AVERAGEIFS(Performance[[Weight]:[Weight]],Performance[[Exercise_Name]:[Exercise_Name]],$J$6,Performance[[Year]:[Year]],$J$4,Performance[[Month]:[Month]],L$46),0)</f>
        <v>0</v>
      </c>
      <c r="M49" s="32">
        <f>IFERROR(AVERAGEIFS(Performance[[Weight]:[Weight]],Performance[[Exercise_Name]:[Exercise_Name]],$J$6,Performance[[Year]:[Year]],$J$4,Performance[[Month]:[Month]],M$46),0)</f>
        <v>0</v>
      </c>
      <c r="N49" s="32">
        <f>IFERROR(AVERAGEIFS(Performance[[Weight]:[Weight]],Performance[[Exercise_Name]:[Exercise_Name]],$J$6,Performance[[Year]:[Year]],$J$4,Performance[[Month]:[Month]],N$46),0)</f>
        <v>0</v>
      </c>
      <c r="O49" s="32">
        <f>IFERROR(AVERAGEIFS(Performance[[Weight]:[Weight]],Performance[[Exercise_Name]:[Exercise_Name]],$J$6,Performance[[Year]:[Year]],$J$4,Performance[[Month]:[Month]],O$46),0)</f>
        <v>0</v>
      </c>
    </row>
    <row r="50" spans="3:15" s="22" customFormat="1" ht="18.75" x14ac:dyDescent="0.25">
      <c r="C50" s="31" t="s">
        <v>214</v>
      </c>
      <c r="D50" s="32">
        <f>IFERROR(AVERAGEIFS(Performance[[Volume]:[Volume]],Performance[[Exercise_Name]:[Exercise_Name]],$J$6,Performance[[Year]:[Year]],$J$4,Performance[[Month]:[Month]],D$46),0)</f>
        <v>0</v>
      </c>
      <c r="E50" s="32">
        <f>IFERROR(AVERAGEIFS(Performance[[Volume]:[Volume]],Performance[[Exercise_Name]:[Exercise_Name]],$J$6,Performance[[Year]:[Year]],$J$4,Performance[[Month]:[Month]],E$46),0)</f>
        <v>405</v>
      </c>
      <c r="F50" s="32">
        <f>IFERROR(AVERAGEIFS(Performance[[Volume]:[Volume]],Performance[[Exercise_Name]:[Exercise_Name]],$J$6,Performance[[Year]:[Year]],$J$4,Performance[[Month]:[Month]],F$46),0)</f>
        <v>800</v>
      </c>
      <c r="G50" s="32">
        <f>IFERROR(AVERAGEIFS(Performance[[Volume]:[Volume]],Performance[[Exercise_Name]:[Exercise_Name]],$J$6,Performance[[Year]:[Year]],$J$4,Performance[[Month]:[Month]],G$46),0)</f>
        <v>900.25</v>
      </c>
      <c r="H50" s="32">
        <f>IFERROR(AVERAGEIFS(Performance[[Volume]:[Volume]],Performance[[Exercise_Name]:[Exercise_Name]],$J$6,Performance[[Year]:[Year]],$J$4,Performance[[Month]:[Month]],H$46),0)</f>
        <v>612.5</v>
      </c>
      <c r="I50" s="32">
        <f>IFERROR(AVERAGEIFS(Performance[[Volume]:[Volume]],Performance[[Exercise_Name]:[Exercise_Name]],$J$6,Performance[[Year]:[Year]],$J$4,Performance[[Month]:[Month]],I$46),0)</f>
        <v>0</v>
      </c>
      <c r="J50" s="32">
        <f>IFERROR(AVERAGEIFS(Performance[[Volume]:[Volume]],Performance[[Exercise_Name]:[Exercise_Name]],$J$6,Performance[[Year]:[Year]],$J$4,Performance[[Month]:[Month]],J$46),0)</f>
        <v>0</v>
      </c>
      <c r="K50" s="32">
        <f>IFERROR(AVERAGEIFS(Performance[[Volume]:[Volume]],Performance[[Exercise_Name]:[Exercise_Name]],$J$6,Performance[[Year]:[Year]],$J$4,Performance[[Month]:[Month]],K$46),0)</f>
        <v>0</v>
      </c>
      <c r="L50" s="32">
        <f>IFERROR(AVERAGEIFS(Performance[[Volume]:[Volume]],Performance[[Exercise_Name]:[Exercise_Name]],$J$6,Performance[[Year]:[Year]],$J$4,Performance[[Month]:[Month]],L$46),0)</f>
        <v>0</v>
      </c>
      <c r="M50" s="32">
        <f>IFERROR(AVERAGEIFS(Performance[[Volume]:[Volume]],Performance[[Exercise_Name]:[Exercise_Name]],$J$6,Performance[[Year]:[Year]],$J$4,Performance[[Month]:[Month]],M$46),0)</f>
        <v>0</v>
      </c>
      <c r="N50" s="32">
        <f>IFERROR(AVERAGEIFS(Performance[[Volume]:[Volume]],Performance[[Exercise_Name]:[Exercise_Name]],$J$6,Performance[[Year]:[Year]],$J$4,Performance[[Month]:[Month]],N$46),0)</f>
        <v>0</v>
      </c>
      <c r="O50" s="32">
        <f>IFERROR(AVERAGEIFS(Performance[[Volume]:[Volume]],Performance[[Exercise_Name]:[Exercise_Name]],$J$6,Performance[[Year]:[Year]],$J$4,Performance[[Month]:[Month]],O$46),0)</f>
        <v>0</v>
      </c>
    </row>
  </sheetData>
  <mergeCells count="3">
    <mergeCell ref="A1:S1"/>
    <mergeCell ref="A3:S3"/>
    <mergeCell ref="C22:E22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895DD7B-79A1-409D-A9C0-132CAEBAEB38}">
          <x14:formula1>
            <xm:f>Mapping!$C:$C</xm:f>
          </x14:formula1>
          <xm:sqref>J4</xm:sqref>
        </x14:dataValidation>
        <x14:dataValidation type="list" allowBlank="1" showInputMessage="1" showErrorMessage="1" prompt="Choose your exercise_x000a_" xr:uid="{4DFA0C1A-CFA6-4BF8-88F9-D915A0EF8369}">
          <x14:formula1>
            <xm:f>Mapping!$H:$H</xm:f>
          </x14:formula1>
          <xm:sqref>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0640-5566-4329-83BF-AC132BE7DC22}">
  <dimension ref="A1:L6"/>
  <sheetViews>
    <sheetView showGridLines="0" workbookViewId="0">
      <selection activeCell="J19" sqref="J19"/>
    </sheetView>
  </sheetViews>
  <sheetFormatPr defaultColWidth="0" defaultRowHeight="15" x14ac:dyDescent="0.25"/>
  <cols>
    <col min="1" max="1" width="13.140625" style="1" customWidth="1"/>
    <col min="2" max="2" width="10.140625" style="1" bestFit="1" customWidth="1"/>
    <col min="3" max="3" width="17.7109375" style="1" customWidth="1"/>
    <col min="4" max="4" width="12.7109375" style="1" customWidth="1"/>
    <col min="5" max="5" width="11.85546875" style="1" customWidth="1"/>
    <col min="6" max="6" width="15" style="1" customWidth="1"/>
    <col min="7" max="7" width="13.5703125" style="1" bestFit="1" customWidth="1"/>
    <col min="8" max="8" width="16" style="1" bestFit="1" customWidth="1"/>
    <col min="9" max="9" width="9.140625" style="1" customWidth="1"/>
    <col min="10" max="11" width="16.85546875" style="1" customWidth="1"/>
    <col min="12" max="12" width="9.140625" style="1" customWidth="1"/>
    <col min="13" max="16384" width="9.140625" style="1" hidden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171</v>
      </c>
      <c r="I1" s="1" t="s">
        <v>178</v>
      </c>
      <c r="J1" s="1" t="s">
        <v>179</v>
      </c>
      <c r="K1" s="1" t="s">
        <v>205</v>
      </c>
    </row>
    <row r="2" spans="1:11" x14ac:dyDescent="0.25">
      <c r="A2" s="1" cm="1">
        <f t="array" ref="A2">ROW()-ROW(Sessions[#Headers])</f>
        <v>1</v>
      </c>
      <c r="B2" s="2">
        <v>46056</v>
      </c>
      <c r="C2" s="1" t="s">
        <v>147</v>
      </c>
      <c r="D2" s="3">
        <v>0.52083333333333337</v>
      </c>
      <c r="E2" s="3">
        <v>0.63888888888888884</v>
      </c>
      <c r="F2" s="1">
        <v>5</v>
      </c>
      <c r="G2" s="3">
        <f>Sessions[[#This Row],[End_Time]]-Sessions[[#This Row],[Start_Time]]</f>
        <v>0.11805555555555547</v>
      </c>
      <c r="H2" s="4">
        <f>SUMIF(Performance[Session_ID],Sessions[[#This Row],[Session_ID]],Performance[Volume])</f>
        <v>13116</v>
      </c>
      <c r="I2" s="1">
        <f>YEAR(Sessions[[#This Row],[Date]])</f>
        <v>2026</v>
      </c>
      <c r="J2" s="1" t="str">
        <f>_xlfn.XLOOKUP(MONTH(Sessions[[#This Row],[Date]]),Mapping!$K$1:$K$12,Mapping!$L$1:$L$12)</f>
        <v>February</v>
      </c>
      <c r="K2" s="1" t="str">
        <f>_xlfn.XLOOKUP(WEEKDAY(Sessions[[#This Row],[Date]]),Mapping!$N$1:$N$7,Mapping!$O$1:$O$7,)</f>
        <v>Wednesday</v>
      </c>
    </row>
    <row r="3" spans="1:11" x14ac:dyDescent="0.25">
      <c r="A3" s="1" cm="1">
        <f t="array" ref="A3">ROW()-ROW(Sessions[#Headers])</f>
        <v>2</v>
      </c>
      <c r="B3" s="2">
        <v>46085</v>
      </c>
      <c r="C3" s="1" t="s">
        <v>217</v>
      </c>
      <c r="D3" s="3">
        <v>0.5</v>
      </c>
      <c r="E3" s="3">
        <v>0.5625</v>
      </c>
      <c r="F3" s="1">
        <v>3</v>
      </c>
      <c r="G3" s="3">
        <f>Sessions[[#This Row],[End_Time]]-Sessions[[#This Row],[Start_Time]]</f>
        <v>6.25E-2</v>
      </c>
      <c r="H3" s="4">
        <f>SUMIF(Performance[Session_ID],Sessions[[#This Row],[Session_ID]],Performance[Volume])</f>
        <v>18484</v>
      </c>
      <c r="I3" s="1">
        <f>YEAR(Sessions[[#This Row],[Date]])</f>
        <v>2026</v>
      </c>
      <c r="J3" s="1" t="str">
        <f>_xlfn.XLOOKUP(MONTH(Sessions[[#This Row],[Date]]),Mapping!$K$1:$K$12,Mapping!$L$1:$L$12)</f>
        <v>March</v>
      </c>
      <c r="K3" s="1" t="str">
        <f>_xlfn.XLOOKUP(WEEKDAY(Sessions[[#This Row],[Date]]),Mapping!$N$1:$N$7,Mapping!$O$1:$O$7,)</f>
        <v>Thursday</v>
      </c>
    </row>
    <row r="4" spans="1:11" x14ac:dyDescent="0.25">
      <c r="A4" s="1" cm="1">
        <f t="array" ref="A4">ROW()-ROW(Sessions[#Headers])</f>
        <v>3</v>
      </c>
      <c r="B4" s="2">
        <v>46117</v>
      </c>
      <c r="C4" s="1" t="s">
        <v>218</v>
      </c>
      <c r="D4" s="3">
        <v>0.70833333333333337</v>
      </c>
      <c r="E4" s="3">
        <v>0.80208333333333337</v>
      </c>
      <c r="F4" s="1">
        <v>1</v>
      </c>
      <c r="G4" s="3">
        <f>Sessions[[#This Row],[End_Time]]-Sessions[[#This Row],[Start_Time]]</f>
        <v>9.375E-2</v>
      </c>
      <c r="H4" s="4">
        <f>SUMIF(Performance[Session_ID],Sessions[[#This Row],[Session_ID]],Performance[Volume])</f>
        <v>12410</v>
      </c>
      <c r="I4" s="1">
        <f>YEAR(Sessions[[#This Row],[Date]])</f>
        <v>2026</v>
      </c>
      <c r="J4" s="1" t="str">
        <f>_xlfn.XLOOKUP(MONTH(Sessions[[#This Row],[Date]]),Mapping!$K$1:$K$12,Mapping!$L$1:$L$12)</f>
        <v>April</v>
      </c>
      <c r="K4" s="1" t="str">
        <f>_xlfn.XLOOKUP(WEEKDAY(Sessions[[#This Row],[Date]]),Mapping!$N$1:$N$7,Mapping!$O$1:$O$7,)</f>
        <v>Monday</v>
      </c>
    </row>
    <row r="5" spans="1:11" x14ac:dyDescent="0.25">
      <c r="A5" s="1" cm="1">
        <f t="array" ref="A5">ROW()-ROW(Sessions[#Headers])</f>
        <v>4</v>
      </c>
      <c r="B5" s="2">
        <v>46148</v>
      </c>
      <c r="D5" s="3"/>
      <c r="E5" s="3"/>
      <c r="G5" s="3">
        <f>Sessions[[#This Row],[End_Time]]-Sessions[[#This Row],[Start_Time]]</f>
        <v>0</v>
      </c>
      <c r="H5" s="4">
        <f>SUMIF(Performance[Session_ID],Sessions[[#This Row],[Session_ID]],Performance[Volume])</f>
        <v>13389</v>
      </c>
      <c r="I5" s="1">
        <f>YEAR(Sessions[[#This Row],[Date]])</f>
        <v>2026</v>
      </c>
      <c r="J5" s="1" t="str">
        <f>_xlfn.XLOOKUP(MONTH(Sessions[[#This Row],[Date]]),Mapping!$K$1:$K$12,Mapping!$L$1:$L$12)</f>
        <v>May</v>
      </c>
      <c r="K5" s="1" t="str">
        <f>_xlfn.XLOOKUP(WEEKDAY(Sessions[[#This Row],[Date]]),Mapping!$N$1:$N$7,Mapping!$O$1:$O$7,)</f>
        <v>Thursday</v>
      </c>
    </row>
    <row r="6" spans="1:11" x14ac:dyDescent="0.25">
      <c r="A6" s="1" cm="1">
        <f t="array" ref="A6">ROW()-ROW(Sessions[#Headers])</f>
        <v>5</v>
      </c>
      <c r="B6" s="2">
        <v>46180</v>
      </c>
      <c r="D6" s="3"/>
      <c r="E6" s="3"/>
      <c r="G6" s="3">
        <f>Sessions[[#This Row],[End_Time]]-Sessions[[#This Row],[Start_Time]]</f>
        <v>0</v>
      </c>
      <c r="H6" s="4">
        <f>SUMIF(Performance[Session_ID],Sessions[[#This Row],[Session_ID]],Performance[Volume])</f>
        <v>0</v>
      </c>
      <c r="I6" s="1">
        <f>YEAR(Sessions[[#This Row],[Date]])</f>
        <v>2026</v>
      </c>
      <c r="J6" s="1" t="str">
        <f>_xlfn.XLOOKUP(MONTH(Sessions[[#This Row],[Date]]),Mapping!$K$1:$K$12,Mapping!$L$1:$L$12)</f>
        <v>June</v>
      </c>
      <c r="K6" s="1" t="str">
        <f>_xlfn.XLOOKUP(WEEKDAY(Sessions[[#This Row],[Date]]),Mapping!$N$1:$N$7,Mapping!$O$1:$O$7,)</f>
        <v>Monday</v>
      </c>
    </row>
  </sheetData>
  <dataValidations count="1">
    <dataValidation type="list" allowBlank="1" showInputMessage="1" showErrorMessage="1" sqref="F2:F6" xr:uid="{109BFB3C-2D5D-4F6E-9F3F-A94C0A2F33C6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8E44-85EC-4C89-9564-D8B754410C36}">
  <dimension ref="A1:F123"/>
  <sheetViews>
    <sheetView showGridLines="0" workbookViewId="0">
      <selection activeCell="G1" sqref="G1:XFD1048576"/>
    </sheetView>
  </sheetViews>
  <sheetFormatPr defaultColWidth="0" defaultRowHeight="15" x14ac:dyDescent="0.25"/>
  <cols>
    <col min="1" max="1" width="13.7109375" style="1" customWidth="1"/>
    <col min="2" max="2" width="53" style="1" bestFit="1" customWidth="1"/>
    <col min="3" max="3" width="16" style="1" customWidth="1"/>
    <col min="4" max="4" width="13" style="1" customWidth="1"/>
    <col min="5" max="6" width="9.140625" style="1" customWidth="1"/>
    <col min="7" max="16384" width="9.140625" style="1" hidden="1"/>
  </cols>
  <sheetData>
    <row r="1" spans="1:4" x14ac:dyDescent="0.25">
      <c r="A1" s="1" t="s">
        <v>6</v>
      </c>
      <c r="B1" s="1" t="s">
        <v>7</v>
      </c>
      <c r="C1" s="1" t="s">
        <v>8</v>
      </c>
      <c r="D1" s="1" t="s">
        <v>9</v>
      </c>
    </row>
    <row r="2" spans="1:4" x14ac:dyDescent="0.25">
      <c r="A2" s="1" t="str" cm="1">
        <f t="array" ref="A2">"EX-" &amp; TEXT(ROW()-ROW(Exercises[#Headers]),"000")</f>
        <v>EX-001</v>
      </c>
      <c r="B2" s="1" t="s">
        <v>31</v>
      </c>
      <c r="C2" s="1" t="s">
        <v>32</v>
      </c>
      <c r="D2" s="1" t="s">
        <v>15</v>
      </c>
    </row>
    <row r="3" spans="1:4" x14ac:dyDescent="0.25">
      <c r="A3" s="1" t="str" cm="1">
        <f t="array" ref="A3">"EX-" &amp; TEXT(ROW()-ROW(Exercises[#Headers]),"000")</f>
        <v>EX-002</v>
      </c>
      <c r="B3" s="1" t="s">
        <v>33</v>
      </c>
      <c r="C3" s="1" t="s">
        <v>32</v>
      </c>
      <c r="D3" s="1" t="s">
        <v>15</v>
      </c>
    </row>
    <row r="4" spans="1:4" x14ac:dyDescent="0.25">
      <c r="A4" s="1" t="str" cm="1">
        <f t="array" ref="A4">"EX-" &amp; TEXT(ROW()-ROW(Exercises[#Headers]),"000")</f>
        <v>EX-003</v>
      </c>
      <c r="B4" s="1" t="s">
        <v>34</v>
      </c>
      <c r="C4" s="1" t="s">
        <v>32</v>
      </c>
      <c r="D4" s="1" t="s">
        <v>15</v>
      </c>
    </row>
    <row r="5" spans="1:4" x14ac:dyDescent="0.25">
      <c r="A5" s="1" t="str" cm="1">
        <f t="array" ref="A5">"EX-" &amp; TEXT(ROW()-ROW(Exercises[#Headers]),"000")</f>
        <v>EX-004</v>
      </c>
      <c r="B5" s="1" t="s">
        <v>35</v>
      </c>
      <c r="C5" s="1" t="s">
        <v>32</v>
      </c>
      <c r="D5" s="1" t="s">
        <v>15</v>
      </c>
    </row>
    <row r="6" spans="1:4" x14ac:dyDescent="0.25">
      <c r="A6" s="1" t="str" cm="1">
        <f t="array" ref="A6">"EX-" &amp; TEXT(ROW()-ROW(Exercises[#Headers]),"000")</f>
        <v>EX-005</v>
      </c>
      <c r="B6" s="1" t="s">
        <v>36</v>
      </c>
      <c r="C6" s="1" t="s">
        <v>32</v>
      </c>
      <c r="D6" s="1" t="s">
        <v>13</v>
      </c>
    </row>
    <row r="7" spans="1:4" x14ac:dyDescent="0.25">
      <c r="A7" s="1" t="str" cm="1">
        <f t="array" ref="A7">"EX-" &amp; TEXT(ROW()-ROW(Exercises[#Headers]),"000")</f>
        <v>EX-006</v>
      </c>
      <c r="B7" s="1" t="s">
        <v>37</v>
      </c>
      <c r="C7" s="1" t="s">
        <v>32</v>
      </c>
      <c r="D7" s="1" t="s">
        <v>15</v>
      </c>
    </row>
    <row r="8" spans="1:4" x14ac:dyDescent="0.25">
      <c r="A8" s="1" t="str" cm="1">
        <f t="array" ref="A8">"EX-" &amp; TEXT(ROW()-ROW(Exercises[#Headers]),"000")</f>
        <v>EX-007</v>
      </c>
      <c r="B8" s="1" t="s">
        <v>38</v>
      </c>
      <c r="C8" s="1" t="s">
        <v>32</v>
      </c>
      <c r="D8" s="1" t="s">
        <v>15</v>
      </c>
    </row>
    <row r="9" spans="1:4" x14ac:dyDescent="0.25">
      <c r="A9" s="1" t="str" cm="1">
        <f t="array" ref="A9">"EX-" &amp; TEXT(ROW()-ROW(Exercises[#Headers]),"000")</f>
        <v>EX-008</v>
      </c>
      <c r="B9" s="1" t="s">
        <v>39</v>
      </c>
      <c r="C9" s="1" t="s">
        <v>32</v>
      </c>
    </row>
    <row r="10" spans="1:4" x14ac:dyDescent="0.25">
      <c r="A10" s="1" t="str" cm="1">
        <f t="array" ref="A10">"EX-" &amp; TEXT(ROW()-ROW(Exercises[#Headers]),"000")</f>
        <v>EX-009</v>
      </c>
      <c r="B10" s="1" t="s">
        <v>40</v>
      </c>
      <c r="C10" s="1" t="s">
        <v>32</v>
      </c>
    </row>
    <row r="11" spans="1:4" x14ac:dyDescent="0.25">
      <c r="A11" s="1" t="str" cm="1">
        <f t="array" ref="A11">"EX-" &amp; TEXT(ROW()-ROW(Exercises[#Headers]),"000")</f>
        <v>EX-010</v>
      </c>
      <c r="B11" s="1" t="s">
        <v>41</v>
      </c>
      <c r="C11" s="1" t="s">
        <v>32</v>
      </c>
    </row>
    <row r="12" spans="1:4" x14ac:dyDescent="0.25">
      <c r="A12" s="1" t="str" cm="1">
        <f t="array" ref="A12">"EX-" &amp; TEXT(ROW()-ROW(Exercises[#Headers]),"000")</f>
        <v>EX-011</v>
      </c>
      <c r="B12" s="1" t="s">
        <v>42</v>
      </c>
      <c r="C12" s="1" t="s">
        <v>32</v>
      </c>
    </row>
    <row r="13" spans="1:4" x14ac:dyDescent="0.25">
      <c r="A13" s="1" t="str" cm="1">
        <f t="array" ref="A13">"EX-" &amp; TEXT(ROW()-ROW(Exercises[#Headers]),"000")</f>
        <v>EX-012</v>
      </c>
      <c r="B13" s="1" t="s">
        <v>43</v>
      </c>
      <c r="C13" s="1" t="s">
        <v>32</v>
      </c>
    </row>
    <row r="14" spans="1:4" x14ac:dyDescent="0.25">
      <c r="A14" s="1" t="str" cm="1">
        <f t="array" ref="A14">"EX-" &amp; TEXT(ROW()-ROW(Exercises[#Headers]),"000")</f>
        <v>EX-013</v>
      </c>
      <c r="B14" s="1" t="s">
        <v>44</v>
      </c>
      <c r="C14" s="1" t="s">
        <v>32</v>
      </c>
    </row>
    <row r="15" spans="1:4" x14ac:dyDescent="0.25">
      <c r="A15" s="1" t="str" cm="1">
        <f t="array" ref="A15">"EX-" &amp; TEXT(ROW()-ROW(Exercises[#Headers]),"000")</f>
        <v>EX-014</v>
      </c>
      <c r="B15" s="1" t="s">
        <v>45</v>
      </c>
      <c r="C15" s="1" t="s">
        <v>32</v>
      </c>
    </row>
    <row r="16" spans="1:4" x14ac:dyDescent="0.25">
      <c r="A16" s="1" t="str" cm="1">
        <f t="array" ref="A16">"EX-" &amp; TEXT(ROW()-ROW(Exercises[#Headers]),"000")</f>
        <v>EX-015</v>
      </c>
      <c r="B16" s="1" t="s">
        <v>46</v>
      </c>
      <c r="C16" s="1" t="s">
        <v>32</v>
      </c>
    </row>
    <row r="17" spans="1:3" x14ac:dyDescent="0.25">
      <c r="A17" s="1" t="str" cm="1">
        <f t="array" ref="A17">"EX-" &amp; TEXT(ROW()-ROW(Exercises[#Headers]),"000")</f>
        <v>EX-016</v>
      </c>
      <c r="B17" s="1" t="s">
        <v>47</v>
      </c>
      <c r="C17" s="1" t="s">
        <v>32</v>
      </c>
    </row>
    <row r="18" spans="1:3" x14ac:dyDescent="0.25">
      <c r="A18" s="1" t="str" cm="1">
        <f t="array" ref="A18">"EX-" &amp; TEXT(ROW()-ROW(Exercises[#Headers]),"000")</f>
        <v>EX-017</v>
      </c>
      <c r="B18" s="1" t="s">
        <v>48</v>
      </c>
      <c r="C18" s="1" t="s">
        <v>32</v>
      </c>
    </row>
    <row r="19" spans="1:3" x14ac:dyDescent="0.25">
      <c r="A19" s="1" t="str" cm="1">
        <f t="array" ref="A19">"EX-" &amp; TEXT(ROW()-ROW(Exercises[#Headers]),"000")</f>
        <v>EX-018</v>
      </c>
      <c r="B19" s="1" t="s">
        <v>49</v>
      </c>
      <c r="C19" s="1" t="s">
        <v>32</v>
      </c>
    </row>
    <row r="20" spans="1:3" x14ac:dyDescent="0.25">
      <c r="A20" s="1" t="str" cm="1">
        <f t="array" ref="A20">"EX-" &amp; TEXT(ROW()-ROW(Exercises[#Headers]),"000")</f>
        <v>EX-019</v>
      </c>
      <c r="B20" s="1" t="s">
        <v>50</v>
      </c>
      <c r="C20" s="1" t="s">
        <v>51</v>
      </c>
    </row>
    <row r="21" spans="1:3" x14ac:dyDescent="0.25">
      <c r="A21" s="1" t="str" cm="1">
        <f t="array" ref="A21">"EX-" &amp; TEXT(ROW()-ROW(Exercises[#Headers]),"000")</f>
        <v>EX-020</v>
      </c>
      <c r="B21" s="1" t="s">
        <v>52</v>
      </c>
      <c r="C21" s="1" t="s">
        <v>51</v>
      </c>
    </row>
    <row r="22" spans="1:3" x14ac:dyDescent="0.25">
      <c r="A22" s="1" t="str" cm="1">
        <f t="array" ref="A22">"EX-" &amp; TEXT(ROW()-ROW(Exercises[#Headers]),"000")</f>
        <v>EX-021</v>
      </c>
      <c r="B22" s="1" t="s">
        <v>53</v>
      </c>
      <c r="C22" s="1" t="s">
        <v>51</v>
      </c>
    </row>
    <row r="23" spans="1:3" x14ac:dyDescent="0.25">
      <c r="A23" s="1" t="str" cm="1">
        <f t="array" ref="A23">"EX-" &amp; TEXT(ROW()-ROW(Exercises[#Headers]),"000")</f>
        <v>EX-022</v>
      </c>
      <c r="B23" s="1" t="s">
        <v>54</v>
      </c>
      <c r="C23" s="1" t="s">
        <v>51</v>
      </c>
    </row>
    <row r="24" spans="1:3" x14ac:dyDescent="0.25">
      <c r="A24" s="1" t="str" cm="1">
        <f t="array" ref="A24">"EX-" &amp; TEXT(ROW()-ROW(Exercises[#Headers]),"000")</f>
        <v>EX-023</v>
      </c>
      <c r="B24" s="1" t="s">
        <v>55</v>
      </c>
      <c r="C24" s="1" t="s">
        <v>51</v>
      </c>
    </row>
    <row r="25" spans="1:3" x14ac:dyDescent="0.25">
      <c r="A25" s="1" t="str" cm="1">
        <f t="array" ref="A25">"EX-" &amp; TEXT(ROW()-ROW(Exercises[#Headers]),"000")</f>
        <v>EX-024</v>
      </c>
      <c r="B25" s="1" t="s">
        <v>56</v>
      </c>
      <c r="C25" s="1" t="s">
        <v>51</v>
      </c>
    </row>
    <row r="26" spans="1:3" x14ac:dyDescent="0.25">
      <c r="A26" s="1" t="str" cm="1">
        <f t="array" ref="A26">"EX-" &amp; TEXT(ROW()-ROW(Exercises[#Headers]),"000")</f>
        <v>EX-025</v>
      </c>
      <c r="B26" s="1" t="s">
        <v>57</v>
      </c>
      <c r="C26" s="1" t="s">
        <v>51</v>
      </c>
    </row>
    <row r="27" spans="1:3" x14ac:dyDescent="0.25">
      <c r="A27" s="1" t="str" cm="1">
        <f t="array" ref="A27">"EX-" &amp; TEXT(ROW()-ROW(Exercises[#Headers]),"000")</f>
        <v>EX-026</v>
      </c>
      <c r="B27" s="1" t="s">
        <v>58</v>
      </c>
      <c r="C27" s="1" t="s">
        <v>51</v>
      </c>
    </row>
    <row r="28" spans="1:3" x14ac:dyDescent="0.25">
      <c r="A28" s="1" t="str" cm="1">
        <f t="array" ref="A28">"EX-" &amp; TEXT(ROW()-ROW(Exercises[#Headers]),"000")</f>
        <v>EX-027</v>
      </c>
      <c r="B28" s="1" t="s">
        <v>59</v>
      </c>
      <c r="C28" s="1" t="s">
        <v>51</v>
      </c>
    </row>
    <row r="29" spans="1:3" x14ac:dyDescent="0.25">
      <c r="A29" s="1" t="str" cm="1">
        <f t="array" ref="A29">"EX-" &amp; TEXT(ROW()-ROW(Exercises[#Headers]),"000")</f>
        <v>EX-028</v>
      </c>
      <c r="B29" s="1" t="s">
        <v>60</v>
      </c>
      <c r="C29" s="1" t="s">
        <v>51</v>
      </c>
    </row>
    <row r="30" spans="1:3" x14ac:dyDescent="0.25">
      <c r="A30" s="1" t="str" cm="1">
        <f t="array" ref="A30">"EX-" &amp; TEXT(ROW()-ROW(Exercises[#Headers]),"000")</f>
        <v>EX-029</v>
      </c>
      <c r="B30" s="1" t="s">
        <v>61</v>
      </c>
      <c r="C30" s="1" t="s">
        <v>51</v>
      </c>
    </row>
    <row r="31" spans="1:3" x14ac:dyDescent="0.25">
      <c r="A31" s="1" t="str" cm="1">
        <f t="array" ref="A31">"EX-" &amp; TEXT(ROW()-ROW(Exercises[#Headers]),"000")</f>
        <v>EX-030</v>
      </c>
      <c r="B31" s="1" t="s">
        <v>62</v>
      </c>
      <c r="C31" s="1" t="s">
        <v>63</v>
      </c>
    </row>
    <row r="32" spans="1:3" x14ac:dyDescent="0.25">
      <c r="A32" s="1" t="str" cm="1">
        <f t="array" ref="A32">"EX-" &amp; TEXT(ROW()-ROW(Exercises[#Headers]),"000")</f>
        <v>EX-031</v>
      </c>
      <c r="B32" s="1" t="s">
        <v>64</v>
      </c>
      <c r="C32" s="1" t="s">
        <v>63</v>
      </c>
    </row>
    <row r="33" spans="1:3" x14ac:dyDescent="0.25">
      <c r="A33" s="1" t="str" cm="1">
        <f t="array" ref="A33">"EX-" &amp; TEXT(ROW()-ROW(Exercises[#Headers]),"000")</f>
        <v>EX-032</v>
      </c>
      <c r="B33" s="1" t="s">
        <v>65</v>
      </c>
      <c r="C33" s="1" t="s">
        <v>63</v>
      </c>
    </row>
    <row r="34" spans="1:3" x14ac:dyDescent="0.25">
      <c r="A34" s="1" t="str" cm="1">
        <f t="array" ref="A34">"EX-" &amp; TEXT(ROW()-ROW(Exercises[#Headers]),"000")</f>
        <v>EX-033</v>
      </c>
      <c r="B34" s="1" t="s">
        <v>66</v>
      </c>
      <c r="C34" s="1" t="s">
        <v>63</v>
      </c>
    </row>
    <row r="35" spans="1:3" x14ac:dyDescent="0.25">
      <c r="A35" s="1" t="str" cm="1">
        <f t="array" ref="A35">"EX-" &amp; TEXT(ROW()-ROW(Exercises[#Headers]),"000")</f>
        <v>EX-034</v>
      </c>
      <c r="B35" s="1" t="s">
        <v>67</v>
      </c>
      <c r="C35" s="1" t="s">
        <v>68</v>
      </c>
    </row>
    <row r="36" spans="1:3" x14ac:dyDescent="0.25">
      <c r="A36" s="1" t="str" cm="1">
        <f t="array" ref="A36">"EX-" &amp; TEXT(ROW()-ROW(Exercises[#Headers]),"000")</f>
        <v>EX-035</v>
      </c>
      <c r="B36" s="1" t="s">
        <v>69</v>
      </c>
      <c r="C36" s="1" t="s">
        <v>68</v>
      </c>
    </row>
    <row r="37" spans="1:3" x14ac:dyDescent="0.25">
      <c r="A37" s="1" t="str" cm="1">
        <f t="array" ref="A37">"EX-" &amp; TEXT(ROW()-ROW(Exercises[#Headers]),"000")</f>
        <v>EX-036</v>
      </c>
      <c r="B37" s="1" t="s">
        <v>70</v>
      </c>
      <c r="C37" s="1" t="s">
        <v>68</v>
      </c>
    </row>
    <row r="38" spans="1:3" x14ac:dyDescent="0.25">
      <c r="A38" s="1" t="str" cm="1">
        <f t="array" ref="A38">"EX-" &amp; TEXT(ROW()-ROW(Exercises[#Headers]),"000")</f>
        <v>EX-037</v>
      </c>
      <c r="B38" s="1" t="s">
        <v>170</v>
      </c>
      <c r="C38" s="1" t="s">
        <v>68</v>
      </c>
    </row>
    <row r="39" spans="1:3" x14ac:dyDescent="0.25">
      <c r="A39" s="1" t="str" cm="1">
        <f t="array" ref="A39">"EX-" &amp; TEXT(ROW()-ROW(Exercises[#Headers]),"000")</f>
        <v>EX-038</v>
      </c>
      <c r="B39" s="1" t="s">
        <v>71</v>
      </c>
      <c r="C39" s="1" t="s">
        <v>68</v>
      </c>
    </row>
    <row r="40" spans="1:3" x14ac:dyDescent="0.25">
      <c r="A40" s="1" t="str" cm="1">
        <f t="array" ref="A40">"EX-" &amp; TEXT(ROW()-ROW(Exercises[#Headers]),"000")</f>
        <v>EX-039</v>
      </c>
      <c r="B40" s="1" t="s">
        <v>72</v>
      </c>
      <c r="C40" s="1" t="s">
        <v>68</v>
      </c>
    </row>
    <row r="41" spans="1:3" x14ac:dyDescent="0.25">
      <c r="A41" s="1" t="str" cm="1">
        <f t="array" ref="A41">"EX-" &amp; TEXT(ROW()-ROW(Exercises[#Headers]),"000")</f>
        <v>EX-040</v>
      </c>
      <c r="B41" s="1" t="s">
        <v>73</v>
      </c>
      <c r="C41" s="1" t="s">
        <v>68</v>
      </c>
    </row>
    <row r="42" spans="1:3" x14ac:dyDescent="0.25">
      <c r="A42" s="1" t="str" cm="1">
        <f t="array" ref="A42">"EX-" &amp; TEXT(ROW()-ROW(Exercises[#Headers]),"000")</f>
        <v>EX-041</v>
      </c>
      <c r="B42" s="1" t="s">
        <v>74</v>
      </c>
      <c r="C42" s="1" t="s">
        <v>68</v>
      </c>
    </row>
    <row r="43" spans="1:3" x14ac:dyDescent="0.25">
      <c r="A43" s="1" t="str" cm="1">
        <f t="array" ref="A43">"EX-" &amp; TEXT(ROW()-ROW(Exercises[#Headers]),"000")</f>
        <v>EX-042</v>
      </c>
      <c r="B43" s="1" t="s">
        <v>75</v>
      </c>
      <c r="C43" s="1" t="s">
        <v>68</v>
      </c>
    </row>
    <row r="44" spans="1:3" x14ac:dyDescent="0.25">
      <c r="A44" s="1" t="str" cm="1">
        <f t="array" ref="A44">"EX-" &amp; TEXT(ROW()-ROW(Exercises[#Headers]),"000")</f>
        <v>EX-043</v>
      </c>
      <c r="B44" s="1" t="s">
        <v>76</v>
      </c>
      <c r="C44" s="1" t="s">
        <v>68</v>
      </c>
    </row>
    <row r="45" spans="1:3" x14ac:dyDescent="0.25">
      <c r="A45" s="1" t="str" cm="1">
        <f t="array" ref="A45">"EX-" &amp; TEXT(ROW()-ROW(Exercises[#Headers]),"000")</f>
        <v>EX-044</v>
      </c>
      <c r="B45" s="1" t="s">
        <v>77</v>
      </c>
      <c r="C45" s="1" t="s">
        <v>32</v>
      </c>
    </row>
    <row r="46" spans="1:3" x14ac:dyDescent="0.25">
      <c r="A46" s="1" t="str" cm="1">
        <f t="array" ref="A46">"EX-" &amp; TEXT(ROW()-ROW(Exercises[#Headers]),"000")</f>
        <v>EX-045</v>
      </c>
      <c r="B46" s="1" t="s">
        <v>78</v>
      </c>
      <c r="C46" s="1" t="s">
        <v>32</v>
      </c>
    </row>
    <row r="47" spans="1:3" x14ac:dyDescent="0.25">
      <c r="A47" s="1" t="str" cm="1">
        <f t="array" ref="A47">"EX-" &amp; TEXT(ROW()-ROW(Exercises[#Headers]),"000")</f>
        <v>EX-046</v>
      </c>
      <c r="B47" s="1" t="s">
        <v>79</v>
      </c>
      <c r="C47" s="1" t="s">
        <v>80</v>
      </c>
    </row>
    <row r="48" spans="1:3" x14ac:dyDescent="0.25">
      <c r="A48" s="1" t="str" cm="1">
        <f t="array" ref="A48">"EX-" &amp; TEXT(ROW()-ROW(Exercises[#Headers]),"000")</f>
        <v>EX-047</v>
      </c>
      <c r="B48" s="1" t="s">
        <v>81</v>
      </c>
      <c r="C48" s="1" t="s">
        <v>80</v>
      </c>
    </row>
    <row r="49" spans="1:3" x14ac:dyDescent="0.25">
      <c r="A49" s="1" t="str" cm="1">
        <f t="array" ref="A49">"EX-" &amp; TEXT(ROW()-ROW(Exercises[#Headers]),"000")</f>
        <v>EX-048</v>
      </c>
      <c r="B49" s="1" t="s">
        <v>82</v>
      </c>
      <c r="C49" s="1" t="s">
        <v>80</v>
      </c>
    </row>
    <row r="50" spans="1:3" x14ac:dyDescent="0.25">
      <c r="A50" s="1" t="str" cm="1">
        <f t="array" ref="A50">"EX-" &amp; TEXT(ROW()-ROW(Exercises[#Headers]),"000")</f>
        <v>EX-049</v>
      </c>
      <c r="B50" s="1" t="s">
        <v>83</v>
      </c>
      <c r="C50" s="1" t="s">
        <v>84</v>
      </c>
    </row>
    <row r="51" spans="1:3" x14ac:dyDescent="0.25">
      <c r="A51" s="1" t="str" cm="1">
        <f t="array" ref="A51">"EX-" &amp; TEXT(ROW()-ROW(Exercises[#Headers]),"000")</f>
        <v>EX-050</v>
      </c>
      <c r="B51" s="1" t="s">
        <v>85</v>
      </c>
      <c r="C51" s="1" t="s">
        <v>86</v>
      </c>
    </row>
    <row r="52" spans="1:3" x14ac:dyDescent="0.25">
      <c r="A52" s="1" t="str" cm="1">
        <f t="array" ref="A52">"EX-" &amp; TEXT(ROW()-ROW(Exercises[#Headers]),"000")</f>
        <v>EX-051</v>
      </c>
      <c r="B52" s="1" t="s">
        <v>87</v>
      </c>
      <c r="C52" s="1" t="s">
        <v>86</v>
      </c>
    </row>
    <row r="53" spans="1:3" x14ac:dyDescent="0.25">
      <c r="A53" s="1" t="str" cm="1">
        <f t="array" ref="A53">"EX-" &amp; TEXT(ROW()-ROW(Exercises[#Headers]),"000")</f>
        <v>EX-052</v>
      </c>
      <c r="B53" s="1" t="s">
        <v>88</v>
      </c>
      <c r="C53" s="1" t="s">
        <v>86</v>
      </c>
    </row>
    <row r="54" spans="1:3" x14ac:dyDescent="0.25">
      <c r="A54" s="1" t="str" cm="1">
        <f t="array" ref="A54">"EX-" &amp; TEXT(ROW()-ROW(Exercises[#Headers]),"000")</f>
        <v>EX-053</v>
      </c>
      <c r="B54" s="1" t="s">
        <v>89</v>
      </c>
      <c r="C54" s="1" t="s">
        <v>86</v>
      </c>
    </row>
    <row r="55" spans="1:3" x14ac:dyDescent="0.25">
      <c r="A55" s="1" t="str" cm="1">
        <f t="array" ref="A55">"EX-" &amp; TEXT(ROW()-ROW(Exercises[#Headers]),"000")</f>
        <v>EX-054</v>
      </c>
      <c r="B55" s="1" t="s">
        <v>90</v>
      </c>
      <c r="C55" s="1" t="s">
        <v>86</v>
      </c>
    </row>
    <row r="56" spans="1:3" x14ac:dyDescent="0.25">
      <c r="A56" s="1" t="str" cm="1">
        <f t="array" ref="A56">"EX-" &amp; TEXT(ROW()-ROW(Exercises[#Headers]),"000")</f>
        <v>EX-055</v>
      </c>
      <c r="B56" s="1" t="s">
        <v>91</v>
      </c>
      <c r="C56" s="1" t="s">
        <v>86</v>
      </c>
    </row>
    <row r="57" spans="1:3" x14ac:dyDescent="0.25">
      <c r="A57" s="1" t="str" cm="1">
        <f t="array" ref="A57">"EX-" &amp; TEXT(ROW()-ROW(Exercises[#Headers]),"000")</f>
        <v>EX-056</v>
      </c>
      <c r="B57" s="1" t="s">
        <v>92</v>
      </c>
      <c r="C57" s="1" t="s">
        <v>93</v>
      </c>
    </row>
    <row r="58" spans="1:3" x14ac:dyDescent="0.25">
      <c r="A58" s="1" t="str" cm="1">
        <f t="array" ref="A58">"EX-" &amp; TEXT(ROW()-ROW(Exercises[#Headers]),"000")</f>
        <v>EX-057</v>
      </c>
      <c r="B58" s="1" t="s">
        <v>94</v>
      </c>
      <c r="C58" s="1" t="s">
        <v>93</v>
      </c>
    </row>
    <row r="59" spans="1:3" x14ac:dyDescent="0.25">
      <c r="A59" s="1" t="str" cm="1">
        <f t="array" ref="A59">"EX-" &amp; TEXT(ROW()-ROW(Exercises[#Headers]),"000")</f>
        <v>EX-058</v>
      </c>
      <c r="B59" s="1" t="s">
        <v>95</v>
      </c>
      <c r="C59" s="1" t="s">
        <v>96</v>
      </c>
    </row>
    <row r="60" spans="1:3" x14ac:dyDescent="0.25">
      <c r="A60" s="1" t="str" cm="1">
        <f t="array" ref="A60">"EX-" &amp; TEXT(ROW()-ROW(Exercises[#Headers]),"000")</f>
        <v>EX-059</v>
      </c>
      <c r="B60" s="1" t="s">
        <v>97</v>
      </c>
      <c r="C60" s="1" t="s">
        <v>96</v>
      </c>
    </row>
    <row r="61" spans="1:3" x14ac:dyDescent="0.25">
      <c r="A61" s="1" t="str" cm="1">
        <f t="array" ref="A61">"EX-" &amp; TEXT(ROW()-ROW(Exercises[#Headers]),"000")</f>
        <v>EX-060</v>
      </c>
      <c r="B61" s="1" t="s">
        <v>98</v>
      </c>
      <c r="C61" s="1" t="s">
        <v>96</v>
      </c>
    </row>
    <row r="62" spans="1:3" x14ac:dyDescent="0.25">
      <c r="A62" s="1" t="str" cm="1">
        <f t="array" ref="A62">"EX-" &amp; TEXT(ROW()-ROW(Exercises[#Headers]),"000")</f>
        <v>EX-061</v>
      </c>
      <c r="B62" s="1" t="s">
        <v>99</v>
      </c>
      <c r="C62" s="1" t="s">
        <v>100</v>
      </c>
    </row>
    <row r="63" spans="1:3" x14ac:dyDescent="0.25">
      <c r="A63" s="1" t="str" cm="1">
        <f t="array" ref="A63">"EX-" &amp; TEXT(ROW()-ROW(Exercises[#Headers]),"000")</f>
        <v>EX-062</v>
      </c>
      <c r="B63" s="1" t="s">
        <v>101</v>
      </c>
      <c r="C63" s="1" t="s">
        <v>100</v>
      </c>
    </row>
    <row r="64" spans="1:3" x14ac:dyDescent="0.25">
      <c r="A64" s="1" t="str" cm="1">
        <f t="array" ref="A64">"EX-" &amp; TEXT(ROW()-ROW(Exercises[#Headers]),"000")</f>
        <v>EX-063</v>
      </c>
      <c r="B64" s="1" t="s">
        <v>102</v>
      </c>
      <c r="C64" s="1" t="s">
        <v>100</v>
      </c>
    </row>
    <row r="65" spans="1:3" x14ac:dyDescent="0.25">
      <c r="A65" s="1" t="str" cm="1">
        <f t="array" ref="A65">"EX-" &amp; TEXT(ROW()-ROW(Exercises[#Headers]),"000")</f>
        <v>EX-064</v>
      </c>
      <c r="B65" s="1" t="s">
        <v>103</v>
      </c>
      <c r="C65" s="1" t="s">
        <v>100</v>
      </c>
    </row>
    <row r="66" spans="1:3" x14ac:dyDescent="0.25">
      <c r="A66" s="1" t="str" cm="1">
        <f t="array" ref="A66">"EX-" &amp; TEXT(ROW()-ROW(Exercises[#Headers]),"000")</f>
        <v>EX-065</v>
      </c>
      <c r="B66" s="1" t="s">
        <v>104</v>
      </c>
      <c r="C66" s="1" t="s">
        <v>100</v>
      </c>
    </row>
    <row r="67" spans="1:3" x14ac:dyDescent="0.25">
      <c r="A67" s="1" t="str" cm="1">
        <f t="array" ref="A67">"EX-" &amp; TEXT(ROW()-ROW(Exercises[#Headers]),"000")</f>
        <v>EX-066</v>
      </c>
      <c r="B67" s="1" t="s">
        <v>105</v>
      </c>
      <c r="C67" s="1" t="s">
        <v>100</v>
      </c>
    </row>
    <row r="68" spans="1:3" x14ac:dyDescent="0.25">
      <c r="A68" s="1" t="str" cm="1">
        <f t="array" ref="A68">"EX-" &amp; TEXT(ROW()-ROW(Exercises[#Headers]),"000")</f>
        <v>EX-067</v>
      </c>
      <c r="B68" s="1" t="s">
        <v>106</v>
      </c>
      <c r="C68" s="1" t="s">
        <v>100</v>
      </c>
    </row>
    <row r="69" spans="1:3" x14ac:dyDescent="0.25">
      <c r="A69" s="1" t="str" cm="1">
        <f t="array" ref="A69">"EX-" &amp; TEXT(ROW()-ROW(Exercises[#Headers]),"000")</f>
        <v>EX-068</v>
      </c>
      <c r="B69" s="1" t="s">
        <v>107</v>
      </c>
      <c r="C69" s="1" t="s">
        <v>100</v>
      </c>
    </row>
    <row r="70" spans="1:3" x14ac:dyDescent="0.25">
      <c r="A70" s="1" t="str" cm="1">
        <f t="array" ref="A70">"EX-" &amp; TEXT(ROW()-ROW(Exercises[#Headers]),"000")</f>
        <v>EX-069</v>
      </c>
      <c r="B70" s="1" t="s">
        <v>108</v>
      </c>
      <c r="C70" s="1" t="s">
        <v>100</v>
      </c>
    </row>
    <row r="71" spans="1:3" x14ac:dyDescent="0.25">
      <c r="A71" s="1" t="str" cm="1">
        <f t="array" ref="A71">"EX-" &amp; TEXT(ROW()-ROW(Exercises[#Headers]),"000")</f>
        <v>EX-070</v>
      </c>
      <c r="B71" s="1" t="s">
        <v>109</v>
      </c>
      <c r="C71" s="1" t="s">
        <v>100</v>
      </c>
    </row>
    <row r="72" spans="1:3" x14ac:dyDescent="0.25">
      <c r="A72" s="1" t="str" cm="1">
        <f t="array" ref="A72">"EX-" &amp; TEXT(ROW()-ROW(Exercises[#Headers]),"000")</f>
        <v>EX-071</v>
      </c>
      <c r="B72" s="1" t="s">
        <v>110</v>
      </c>
      <c r="C72" s="1" t="s">
        <v>100</v>
      </c>
    </row>
    <row r="73" spans="1:3" x14ac:dyDescent="0.25">
      <c r="A73" s="1" t="str" cm="1">
        <f t="array" ref="A73">"EX-" &amp; TEXT(ROW()-ROW(Exercises[#Headers]),"000")</f>
        <v>EX-072</v>
      </c>
      <c r="B73" s="1" t="s">
        <v>111</v>
      </c>
      <c r="C73" s="1" t="s">
        <v>100</v>
      </c>
    </row>
    <row r="74" spans="1:3" x14ac:dyDescent="0.25">
      <c r="A74" s="1" t="str" cm="1">
        <f t="array" ref="A74">"EX-" &amp; TEXT(ROW()-ROW(Exercises[#Headers]),"000")</f>
        <v>EX-073</v>
      </c>
      <c r="B74" s="1" t="s">
        <v>112</v>
      </c>
      <c r="C74" s="1" t="s">
        <v>100</v>
      </c>
    </row>
    <row r="75" spans="1:3" x14ac:dyDescent="0.25">
      <c r="A75" s="1" t="str" cm="1">
        <f t="array" ref="A75">"EX-" &amp; TEXT(ROW()-ROW(Exercises[#Headers]),"000")</f>
        <v>EX-074</v>
      </c>
      <c r="B75" s="1" t="s">
        <v>113</v>
      </c>
      <c r="C75" s="1" t="s">
        <v>114</v>
      </c>
    </row>
    <row r="76" spans="1:3" x14ac:dyDescent="0.25">
      <c r="A76" s="1" t="str" cm="1">
        <f t="array" ref="A76">"EX-" &amp; TEXT(ROW()-ROW(Exercises[#Headers]),"000")</f>
        <v>EX-075</v>
      </c>
      <c r="B76" s="1" t="s">
        <v>115</v>
      </c>
      <c r="C76" s="1" t="s">
        <v>114</v>
      </c>
    </row>
    <row r="77" spans="1:3" x14ac:dyDescent="0.25">
      <c r="A77" s="1" t="str" cm="1">
        <f t="array" ref="A77">"EX-" &amp; TEXT(ROW()-ROW(Exercises[#Headers]),"000")</f>
        <v>EX-076</v>
      </c>
      <c r="B77" s="1" t="s">
        <v>116</v>
      </c>
      <c r="C77" s="1" t="s">
        <v>114</v>
      </c>
    </row>
    <row r="78" spans="1:3" x14ac:dyDescent="0.25">
      <c r="A78" s="1" t="str" cm="1">
        <f t="array" ref="A78">"EX-" &amp; TEXT(ROW()-ROW(Exercises[#Headers]),"000")</f>
        <v>EX-077</v>
      </c>
      <c r="B78" s="1" t="s">
        <v>117</v>
      </c>
      <c r="C78" s="1" t="s">
        <v>114</v>
      </c>
    </row>
    <row r="79" spans="1:3" x14ac:dyDescent="0.25">
      <c r="A79" s="1" t="str" cm="1">
        <f t="array" ref="A79">"EX-" &amp; TEXT(ROW()-ROW(Exercises[#Headers]),"000")</f>
        <v>EX-078</v>
      </c>
      <c r="B79" s="1" t="s">
        <v>118</v>
      </c>
      <c r="C79" s="1" t="s">
        <v>114</v>
      </c>
    </row>
    <row r="80" spans="1:3" x14ac:dyDescent="0.25">
      <c r="A80" s="1" t="str" cm="1">
        <f t="array" ref="A80">"EX-" &amp; TEXT(ROW()-ROW(Exercises[#Headers]),"000")</f>
        <v>EX-079</v>
      </c>
      <c r="B80" s="1" t="s">
        <v>119</v>
      </c>
      <c r="C80" s="1" t="s">
        <v>114</v>
      </c>
    </row>
    <row r="81" spans="1:4" x14ac:dyDescent="0.25">
      <c r="A81" s="1" t="str" cm="1">
        <f t="array" ref="A81">"EX-" &amp; TEXT(ROW()-ROW(Exercises[#Headers]),"000")</f>
        <v>EX-080</v>
      </c>
      <c r="B81" s="1" t="s">
        <v>120</v>
      </c>
      <c r="C81" s="1" t="s">
        <v>114</v>
      </c>
    </row>
    <row r="82" spans="1:4" x14ac:dyDescent="0.25">
      <c r="A82" s="1" t="str" cm="1">
        <f t="array" ref="A82">"EX-" &amp; TEXT(ROW()-ROW(Exercises[#Headers]),"000")</f>
        <v>EX-081</v>
      </c>
      <c r="B82" s="1" t="s">
        <v>121</v>
      </c>
      <c r="C82" s="1" t="s">
        <v>114</v>
      </c>
    </row>
    <row r="83" spans="1:4" x14ac:dyDescent="0.25">
      <c r="A83" s="1" t="str" cm="1">
        <f t="array" ref="A83">"EX-" &amp; TEXT(ROW()-ROW(Exercises[#Headers]),"000")</f>
        <v>EX-082</v>
      </c>
      <c r="B83" s="1" t="s">
        <v>122</v>
      </c>
      <c r="C83" s="1" t="s">
        <v>114</v>
      </c>
    </row>
    <row r="84" spans="1:4" x14ac:dyDescent="0.25">
      <c r="A84" s="1" t="str" cm="1">
        <f t="array" ref="A84">"EX-" &amp; TEXT(ROW()-ROW(Exercises[#Headers]),"000")</f>
        <v>EX-083</v>
      </c>
      <c r="B84" s="1" t="s">
        <v>123</v>
      </c>
      <c r="C84" s="1" t="s">
        <v>114</v>
      </c>
    </row>
    <row r="85" spans="1:4" x14ac:dyDescent="0.25">
      <c r="A85" s="1" t="str" cm="1">
        <f t="array" ref="A85">"EX-" &amp; TEXT(ROW()-ROW(Exercises[#Headers]),"000")</f>
        <v>EX-084</v>
      </c>
      <c r="B85" s="1" t="s">
        <v>124</v>
      </c>
      <c r="C85" s="1" t="s">
        <v>125</v>
      </c>
    </row>
    <row r="86" spans="1:4" x14ac:dyDescent="0.25">
      <c r="A86" s="1" t="str" cm="1">
        <f t="array" ref="A86">"EX-" &amp; TEXT(ROW()-ROW(Exercises[#Headers]),"000")</f>
        <v>EX-085</v>
      </c>
      <c r="B86" s="1" t="s">
        <v>126</v>
      </c>
      <c r="C86" s="1" t="s">
        <v>127</v>
      </c>
      <c r="D86" s="1" t="s">
        <v>15</v>
      </c>
    </row>
    <row r="87" spans="1:4" x14ac:dyDescent="0.25">
      <c r="A87" s="1" t="str" cm="1">
        <f t="array" ref="A87">"EX-" &amp; TEXT(ROW()-ROW(Exercises[#Headers]),"000")</f>
        <v>EX-086</v>
      </c>
      <c r="B87" s="1" t="s">
        <v>128</v>
      </c>
      <c r="C87" s="1" t="s">
        <v>127</v>
      </c>
    </row>
    <row r="88" spans="1:4" x14ac:dyDescent="0.25">
      <c r="A88" s="1" t="str" cm="1">
        <f t="array" ref="A88">"EX-" &amp; TEXT(ROW()-ROW(Exercises[#Headers]),"000")</f>
        <v>EX-087</v>
      </c>
      <c r="B88" s="1" t="s">
        <v>129</v>
      </c>
      <c r="C88" s="1" t="s">
        <v>127</v>
      </c>
    </row>
    <row r="89" spans="1:4" x14ac:dyDescent="0.25">
      <c r="A89" s="1" t="str" cm="1">
        <f t="array" ref="A89">"EX-" &amp; TEXT(ROW()-ROW(Exercises[#Headers]),"000")</f>
        <v>EX-088</v>
      </c>
      <c r="B89" s="1" t="s">
        <v>130</v>
      </c>
      <c r="C89" s="1" t="s">
        <v>127</v>
      </c>
    </row>
    <row r="90" spans="1:4" x14ac:dyDescent="0.25">
      <c r="A90" s="1" t="str" cm="1">
        <f t="array" ref="A90">"EX-" &amp; TEXT(ROW()-ROW(Exercises[#Headers]),"000")</f>
        <v>EX-089</v>
      </c>
      <c r="B90" s="1" t="s">
        <v>131</v>
      </c>
      <c r="C90" s="1" t="s">
        <v>127</v>
      </c>
    </row>
    <row r="91" spans="1:4" x14ac:dyDescent="0.25">
      <c r="A91" s="1" t="str" cm="1">
        <f t="array" ref="A91">"EX-" &amp; TEXT(ROW()-ROW(Exercises[#Headers]),"000")</f>
        <v>EX-090</v>
      </c>
      <c r="B91" s="1" t="s">
        <v>132</v>
      </c>
      <c r="C91" s="1" t="s">
        <v>127</v>
      </c>
    </row>
    <row r="92" spans="1:4" x14ac:dyDescent="0.25">
      <c r="A92" s="1" t="str" cm="1">
        <f t="array" ref="A92">"EX-" &amp; TEXT(ROW()-ROW(Exercises[#Headers]),"000")</f>
        <v>EX-091</v>
      </c>
      <c r="B92" s="1" t="s">
        <v>133</v>
      </c>
      <c r="C92" s="1" t="s">
        <v>127</v>
      </c>
    </row>
    <row r="93" spans="1:4" x14ac:dyDescent="0.25">
      <c r="A93" s="1" t="str" cm="1">
        <f t="array" ref="A93">"EX-" &amp; TEXT(ROW()-ROW(Exercises[#Headers]),"000")</f>
        <v>EX-092</v>
      </c>
      <c r="B93" s="1" t="s">
        <v>134</v>
      </c>
      <c r="C93" s="1" t="s">
        <v>127</v>
      </c>
      <c r="D93" s="1" t="s">
        <v>13</v>
      </c>
    </row>
    <row r="94" spans="1:4" x14ac:dyDescent="0.25">
      <c r="A94" s="1" t="str" cm="1">
        <f t="array" ref="A94">"EX-" &amp; TEXT(ROW()-ROW(Exercises[#Headers]),"000")</f>
        <v>EX-093</v>
      </c>
      <c r="B94" s="1" t="s">
        <v>135</v>
      </c>
      <c r="C94" s="1" t="s">
        <v>136</v>
      </c>
    </row>
    <row r="95" spans="1:4" x14ac:dyDescent="0.25">
      <c r="A95" s="1" t="str" cm="1">
        <f t="array" ref="A95">"EX-" &amp; TEXT(ROW()-ROW(Exercises[#Headers]),"000")</f>
        <v>EX-094</v>
      </c>
      <c r="B95" s="1" t="s">
        <v>137</v>
      </c>
      <c r="C95" s="1" t="s">
        <v>138</v>
      </c>
    </row>
    <row r="96" spans="1:4" x14ac:dyDescent="0.25">
      <c r="A96" s="1" t="str" cm="1">
        <f t="array" ref="A96">"EX-" &amp; TEXT(ROW()-ROW(Exercises[#Headers]),"000")</f>
        <v>EX-095</v>
      </c>
      <c r="B96" s="1" t="s">
        <v>139</v>
      </c>
      <c r="C96" s="1" t="s">
        <v>140</v>
      </c>
    </row>
    <row r="97" spans="1:3" x14ac:dyDescent="0.25">
      <c r="A97" s="1" t="str" cm="1">
        <f t="array" ref="A97">"EX-" &amp; TEXT(ROW()-ROW(Exercises[#Headers]),"000")</f>
        <v>EX-096</v>
      </c>
      <c r="B97" s="1" t="s">
        <v>141</v>
      </c>
      <c r="C97" s="1" t="s">
        <v>140</v>
      </c>
    </row>
    <row r="98" spans="1:3" x14ac:dyDescent="0.25">
      <c r="A98" s="1" t="str" cm="1">
        <f t="array" ref="A98">"EX-" &amp; TEXT(ROW()-ROW(Exercises[#Headers]),"000")</f>
        <v>EX-097</v>
      </c>
      <c r="B98" s="1" t="s">
        <v>142</v>
      </c>
      <c r="C98" s="1" t="s">
        <v>140</v>
      </c>
    </row>
    <row r="99" spans="1:3" x14ac:dyDescent="0.25">
      <c r="A99" s="1" t="str" cm="1">
        <f t="array" ref="A99">"EX-" &amp; TEXT(ROW()-ROW(Exercises[#Headers]),"000")</f>
        <v>EX-098</v>
      </c>
      <c r="B99" s="1" t="s">
        <v>143</v>
      </c>
      <c r="C99" s="1" t="s">
        <v>140</v>
      </c>
    </row>
    <row r="100" spans="1:3" x14ac:dyDescent="0.25">
      <c r="A100" s="1" t="str" cm="1">
        <f t="array" ref="A100">"EX-" &amp; TEXT(ROW()-ROW(Exercises[#Headers]),"000")</f>
        <v>EX-099</v>
      </c>
      <c r="B100" s="1" t="s">
        <v>144</v>
      </c>
      <c r="C100" s="1" t="s">
        <v>140</v>
      </c>
    </row>
    <row r="101" spans="1:3" x14ac:dyDescent="0.25">
      <c r="A101" s="1" t="str" cm="1">
        <f t="array" ref="A101">"EX-" &amp; TEXT(ROW()-ROW(Exercises[#Headers]),"000")</f>
        <v>EX-100</v>
      </c>
      <c r="B101" s="1" t="s">
        <v>145</v>
      </c>
      <c r="C101" s="1" t="s">
        <v>140</v>
      </c>
    </row>
    <row r="102" spans="1:3" x14ac:dyDescent="0.25">
      <c r="A102" s="1" t="str" cm="1">
        <f t="array" ref="A102">"EX-" &amp; TEXT(ROW()-ROW(Exercises[#Headers]),"000")</f>
        <v>EX-101</v>
      </c>
      <c r="B102" s="1" t="s">
        <v>146</v>
      </c>
      <c r="C102" s="1" t="s">
        <v>100</v>
      </c>
    </row>
    <row r="103" spans="1:3" x14ac:dyDescent="0.25">
      <c r="A103" s="1" t="str" cm="1">
        <f t="array" ref="A103">"EX-" &amp; TEXT(ROW()-ROW(Exercises[#Headers]),"000")</f>
        <v>EX-102</v>
      </c>
      <c r="B103" s="1" t="s">
        <v>148</v>
      </c>
      <c r="C103" s="1" t="s">
        <v>114</v>
      </c>
    </row>
    <row r="104" spans="1:3" x14ac:dyDescent="0.25">
      <c r="A104" s="1" t="str" cm="1">
        <f t="array" ref="A104">"EX-" &amp; TEXT(ROW()-ROW(Exercises[#Headers]),"000")</f>
        <v>EX-103</v>
      </c>
      <c r="B104" s="1" t="s">
        <v>149</v>
      </c>
      <c r="C104" s="1" t="s">
        <v>32</v>
      </c>
    </row>
    <row r="105" spans="1:3" x14ac:dyDescent="0.25">
      <c r="A105" s="1" t="str" cm="1">
        <f t="array" ref="A105">"EX-" &amp; TEXT(ROW()-ROW(Exercises[#Headers]),"000")</f>
        <v>EX-104</v>
      </c>
      <c r="B105" s="1" t="s">
        <v>150</v>
      </c>
      <c r="C105" s="1" t="s">
        <v>100</v>
      </c>
    </row>
    <row r="106" spans="1:3" x14ac:dyDescent="0.25">
      <c r="A106" s="1" t="str" cm="1">
        <f t="array" ref="A106">"EX-" &amp; TEXT(ROW()-ROW(Exercises[#Headers]),"000")</f>
        <v>EX-105</v>
      </c>
      <c r="B106" s="1" t="s">
        <v>151</v>
      </c>
      <c r="C106" s="1" t="s">
        <v>80</v>
      </c>
    </row>
    <row r="107" spans="1:3" x14ac:dyDescent="0.25">
      <c r="A107" s="1" t="str" cm="1">
        <f t="array" ref="A107">"EX-" &amp; TEXT(ROW()-ROW(Exercises[#Headers]),"000")</f>
        <v>EX-106</v>
      </c>
      <c r="B107" s="1" t="s">
        <v>152</v>
      </c>
      <c r="C107" s="1" t="s">
        <v>80</v>
      </c>
    </row>
    <row r="108" spans="1:3" x14ac:dyDescent="0.25">
      <c r="A108" s="1" t="str" cm="1">
        <f t="array" ref="A108">"EX-" &amp; TEXT(ROW()-ROW(Exercises[#Headers]),"000")</f>
        <v>EX-107</v>
      </c>
      <c r="B108" s="1" t="s">
        <v>153</v>
      </c>
      <c r="C108" s="1" t="s">
        <v>127</v>
      </c>
    </row>
    <row r="109" spans="1:3" x14ac:dyDescent="0.25">
      <c r="A109" s="1" t="str" cm="1">
        <f t="array" ref="A109">"EX-" &amp; TEXT(ROW()-ROW(Exercises[#Headers]),"000")</f>
        <v>EX-108</v>
      </c>
      <c r="B109" s="1" t="s">
        <v>154</v>
      </c>
      <c r="C109" s="1" t="s">
        <v>51</v>
      </c>
    </row>
    <row r="110" spans="1:3" x14ac:dyDescent="0.25">
      <c r="A110" s="1" t="str" cm="1">
        <f t="array" ref="A110">"EX-" &amp; TEXT(ROW()-ROW(Exercises[#Headers]),"000")</f>
        <v>EX-109</v>
      </c>
      <c r="B110" s="1" t="s">
        <v>155</v>
      </c>
      <c r="C110" s="1" t="s">
        <v>156</v>
      </c>
    </row>
    <row r="111" spans="1:3" x14ac:dyDescent="0.25">
      <c r="A111" s="1" t="str" cm="1">
        <f t="array" ref="A111">"EX-" &amp; TEXT(ROW()-ROW(Exercises[#Headers]),"000")</f>
        <v>EX-110</v>
      </c>
      <c r="B111" s="1" t="s">
        <v>157</v>
      </c>
      <c r="C111" s="1" t="s">
        <v>100</v>
      </c>
    </row>
    <row r="112" spans="1:3" x14ac:dyDescent="0.25">
      <c r="A112" s="1" t="str" cm="1">
        <f t="array" ref="A112">"EX-" &amp; TEXT(ROW()-ROW(Exercises[#Headers]),"000")</f>
        <v>EX-111</v>
      </c>
      <c r="B112" s="1" t="s">
        <v>158</v>
      </c>
      <c r="C112" s="1" t="s">
        <v>100</v>
      </c>
    </row>
    <row r="113" spans="1:3" x14ac:dyDescent="0.25">
      <c r="A113" s="1" t="str" cm="1">
        <f t="array" ref="A113">"EX-" &amp; TEXT(ROW()-ROW(Exercises[#Headers]),"000")</f>
        <v>EX-112</v>
      </c>
      <c r="B113" s="1" t="s">
        <v>159</v>
      </c>
      <c r="C113" s="1" t="s">
        <v>68</v>
      </c>
    </row>
    <row r="114" spans="1:3" x14ac:dyDescent="0.25">
      <c r="A114" s="1" t="str" cm="1">
        <f t="array" ref="A114">"EX-" &amp; TEXT(ROW()-ROW(Exercises[#Headers]),"000")</f>
        <v>EX-113</v>
      </c>
      <c r="B114" s="1" t="s">
        <v>160</v>
      </c>
      <c r="C114" s="1" t="s">
        <v>96</v>
      </c>
    </row>
    <row r="115" spans="1:3" x14ac:dyDescent="0.25">
      <c r="A115" s="1" t="str" cm="1">
        <f t="array" ref="A115">"EX-" &amp; TEXT(ROW()-ROW(Exercises[#Headers]),"000")</f>
        <v>EX-114</v>
      </c>
      <c r="B115" s="1" t="s">
        <v>161</v>
      </c>
      <c r="C115" s="1" t="s">
        <v>100</v>
      </c>
    </row>
    <row r="116" spans="1:3" x14ac:dyDescent="0.25">
      <c r="A116" s="1" t="str" cm="1">
        <f t="array" ref="A116">"EX-" &amp; TEXT(ROW()-ROW(Exercises[#Headers]),"000")</f>
        <v>EX-115</v>
      </c>
      <c r="B116" s="1" t="s">
        <v>162</v>
      </c>
      <c r="C116" s="1" t="s">
        <v>100</v>
      </c>
    </row>
    <row r="117" spans="1:3" x14ac:dyDescent="0.25">
      <c r="A117" s="1" t="str" cm="1">
        <f t="array" ref="A117">"EX-" &amp; TEXT(ROW()-ROW(Exercises[#Headers]),"000")</f>
        <v>EX-116</v>
      </c>
      <c r="B117" s="1" t="s">
        <v>163</v>
      </c>
      <c r="C117" s="1" t="s">
        <v>100</v>
      </c>
    </row>
    <row r="118" spans="1:3" x14ac:dyDescent="0.25">
      <c r="A118" s="1" t="str" cm="1">
        <f t="array" ref="A118">"EX-" &amp; TEXT(ROW()-ROW(Exercises[#Headers]),"000")</f>
        <v>EX-117</v>
      </c>
      <c r="B118" s="1" t="s">
        <v>164</v>
      </c>
      <c r="C118" s="1" t="s">
        <v>114</v>
      </c>
    </row>
    <row r="119" spans="1:3" x14ac:dyDescent="0.25">
      <c r="A119" s="1" t="str" cm="1">
        <f t="array" ref="A119">"EX-" &amp; TEXT(ROW()-ROW(Exercises[#Headers]),"000")</f>
        <v>EX-118</v>
      </c>
      <c r="B119" s="1" t="s">
        <v>165</v>
      </c>
      <c r="C119" s="1" t="s">
        <v>51</v>
      </c>
    </row>
    <row r="120" spans="1:3" x14ac:dyDescent="0.25">
      <c r="A120" s="1" t="str" cm="1">
        <f t="array" ref="A120">"EX-" &amp; TEXT(ROW()-ROW(Exercises[#Headers]),"000")</f>
        <v>EX-119</v>
      </c>
      <c r="B120" s="1" t="s">
        <v>166</v>
      </c>
      <c r="C120" s="1" t="s">
        <v>127</v>
      </c>
    </row>
    <row r="121" spans="1:3" x14ac:dyDescent="0.25">
      <c r="A121" s="1" t="str" cm="1">
        <f t="array" ref="A121">"EX-" &amp; TEXT(ROW()-ROW(Exercises[#Headers]),"000")</f>
        <v>EX-120</v>
      </c>
      <c r="B121" s="1" t="s">
        <v>167</v>
      </c>
      <c r="C121" s="1" t="s">
        <v>63</v>
      </c>
    </row>
    <row r="122" spans="1:3" x14ac:dyDescent="0.25">
      <c r="A122" s="1" t="str" cm="1">
        <f t="array" ref="A122">"EX-" &amp; TEXT(ROW()-ROW(Exercises[#Headers]),"000")</f>
        <v>EX-121</v>
      </c>
      <c r="B122" s="1" t="s">
        <v>169</v>
      </c>
      <c r="C122" s="1" t="s">
        <v>80</v>
      </c>
    </row>
    <row r="123" spans="1:3" x14ac:dyDescent="0.25">
      <c r="A123" s="1" t="str" cm="1">
        <f t="array" ref="A123">"EX-" &amp; TEXT(ROW()-ROW(Exercises[#Headers]),"000")</f>
        <v>EX-122</v>
      </c>
      <c r="B123" s="1" t="s">
        <v>168</v>
      </c>
      <c r="C123" s="1" t="s">
        <v>114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32B4E-8917-4C98-862B-124FFF89DB64}">
          <x14:formula1>
            <xm:f>Mapping!$A$2:$A$6</xm:f>
          </x14:formula1>
          <xm:sqref>D1:D123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64BF6-D3C3-4129-AE3E-AA88881D5741}">
  <dimension ref="A1:N81"/>
  <sheetViews>
    <sheetView showGridLines="0" workbookViewId="0">
      <selection activeCell="V34" sqref="V34"/>
    </sheetView>
  </sheetViews>
  <sheetFormatPr defaultRowHeight="15" x14ac:dyDescent="0.25"/>
  <cols>
    <col min="1" max="1" width="12.140625" style="1" customWidth="1"/>
    <col min="2" max="2" width="12.140625" style="2" customWidth="1"/>
    <col min="3" max="3" width="24.85546875" style="1" bestFit="1" customWidth="1"/>
    <col min="4" max="4" width="14.28515625" style="1" customWidth="1"/>
    <col min="5" max="5" width="9.5703125" style="1" customWidth="1"/>
    <col min="6" max="6" width="7.7109375" style="1" customWidth="1"/>
    <col min="7" max="7" width="6.7109375" style="1" customWidth="1"/>
    <col min="8" max="8" width="10" style="1" customWidth="1"/>
    <col min="9" max="9" width="27" style="1" customWidth="1"/>
    <col min="10" max="10" width="7.85546875" style="1" bestFit="1" customWidth="1"/>
    <col min="11" max="11" width="11.5703125" style="1" bestFit="1" customWidth="1"/>
    <col min="12" max="12" width="9.140625" style="1"/>
    <col min="13" max="14" width="13" style="1" customWidth="1"/>
    <col min="15" max="16384" width="9.140625" style="1"/>
  </cols>
  <sheetData>
    <row r="1" spans="1:14" x14ac:dyDescent="0.25">
      <c r="A1" s="1" t="s">
        <v>0</v>
      </c>
      <c r="B1" s="2" t="s">
        <v>1</v>
      </c>
      <c r="C1" s="1" t="s">
        <v>7</v>
      </c>
      <c r="D1" s="1" t="s">
        <v>16</v>
      </c>
      <c r="E1" s="1" t="s">
        <v>18</v>
      </c>
      <c r="F1" s="1" t="s">
        <v>17</v>
      </c>
      <c r="G1" s="1" t="s">
        <v>21</v>
      </c>
      <c r="H1" s="1" t="s">
        <v>19</v>
      </c>
      <c r="I1" s="1" t="s">
        <v>29</v>
      </c>
      <c r="J1" s="1" t="s">
        <v>20</v>
      </c>
      <c r="K1" s="1" t="s">
        <v>6</v>
      </c>
      <c r="L1" s="1" t="s">
        <v>178</v>
      </c>
      <c r="M1" s="1" t="s">
        <v>179</v>
      </c>
      <c r="N1" s="1" t="s">
        <v>180</v>
      </c>
    </row>
    <row r="2" spans="1:14" x14ac:dyDescent="0.25">
      <c r="A2" s="1">
        <v>1</v>
      </c>
      <c r="B2" s="2">
        <f>_xlfn.XLOOKUP(Performance[[#This Row],[Session_ID]],Sessions[Session_ID],Sessions[Date],"Not found")</f>
        <v>46056</v>
      </c>
      <c r="C2" s="1" t="s">
        <v>160</v>
      </c>
      <c r="D2" s="1">
        <v>1</v>
      </c>
      <c r="E2" s="1">
        <v>8</v>
      </c>
      <c r="F2" s="1">
        <v>90</v>
      </c>
      <c r="G2" s="1">
        <v>3</v>
      </c>
      <c r="H2" s="1">
        <f>IF(Performance[[#This Row],[RIR]]="","",10-Performance[[#This Row],[RIR]])</f>
        <v>7</v>
      </c>
      <c r="I2" s="1" t="str" cm="1">
        <f t="array" ref="I2">_xlfn.XLOOKUP(Performance[[#This Row],[RPE]],RPE_Detalis[[#All],[RPE]],RPE_Detalis[[#All],[Detalis]],"")</f>
        <v>Hard, but controlled</v>
      </c>
      <c r="J2" s="1">
        <f>Performance[[#This Row],[Reps]]*Performance[[#This Row],[Weight]]</f>
        <v>720</v>
      </c>
      <c r="K2" s="1" t="str">
        <f>_xlfn.XLOOKUP(Performance[[#This Row],[Exercise_Name]],Exercises[Exercise_Name],Exercises[Exercise_ID],"Not found")</f>
        <v>EX-113</v>
      </c>
      <c r="L2" s="1">
        <f>YEAR(Performance[[#This Row],[Date]])</f>
        <v>2026</v>
      </c>
      <c r="M2" s="1" t="str">
        <f>_xlfn.XLOOKUP(MONTH(Performance[[#This Row],[Date]]),Mapping!$K$1:$K$12,Mapping!$L$1:$L$12)</f>
        <v>February</v>
      </c>
      <c r="N2" s="1" t="str">
        <f>_xlfn.XLOOKUP(WEEKDAY(Performance[[#This Row],[Date]]),Mapping!$N$1:$N$7,Mapping!$O$1:$O$7,)</f>
        <v>Wednesday</v>
      </c>
    </row>
    <row r="3" spans="1:14" x14ac:dyDescent="0.25">
      <c r="A3" s="1">
        <v>1</v>
      </c>
      <c r="B3" s="2">
        <f>_xlfn.XLOOKUP(Performance[[#This Row],[Session_ID]],Sessions[Session_ID],Sessions[Date],"Not found")</f>
        <v>46056</v>
      </c>
      <c r="C3" s="1" t="s">
        <v>160</v>
      </c>
      <c r="D3" s="1">
        <v>2</v>
      </c>
      <c r="E3" s="1">
        <v>8</v>
      </c>
      <c r="F3" s="1">
        <v>90</v>
      </c>
      <c r="G3" s="1">
        <v>3</v>
      </c>
      <c r="H3" s="1">
        <f>IF(Performance[[#This Row],[RIR]]="","",10-Performance[[#This Row],[RIR]])</f>
        <v>7</v>
      </c>
      <c r="I3" s="1" t="str" cm="1">
        <f t="array" ref="I3">_xlfn.XLOOKUP(Performance[[#This Row],[RPE]],RPE_Detalis[[#All],[RPE]],RPE_Detalis[[#All],[Detalis]],"")</f>
        <v>Hard, but controlled</v>
      </c>
      <c r="J3" s="1">
        <f>Performance[[#This Row],[Reps]]*Performance[[#This Row],[Weight]]</f>
        <v>720</v>
      </c>
      <c r="K3" s="1" t="str">
        <f>_xlfn.XLOOKUP(Performance[[#This Row],[Exercise_Name]],Exercises[Exercise_Name],Exercises[Exercise_ID],"Not found")</f>
        <v>EX-113</v>
      </c>
      <c r="L3" s="1">
        <f>YEAR(Performance[[#This Row],[Date]])</f>
        <v>2026</v>
      </c>
      <c r="M3" s="1" t="str">
        <f>_xlfn.XLOOKUP(MONTH(Performance[[#This Row],[Date]]),Mapping!$K$1:$K$12,Mapping!$L$1:$L$12)</f>
        <v>February</v>
      </c>
      <c r="N3" s="1" t="str">
        <f>_xlfn.XLOOKUP(WEEKDAY(Performance[[#This Row],[Date]]),Mapping!$N$1:$N$7,Mapping!$O$1:$O$7,)</f>
        <v>Wednesday</v>
      </c>
    </row>
    <row r="4" spans="1:14" x14ac:dyDescent="0.25">
      <c r="A4" s="1">
        <v>1</v>
      </c>
      <c r="B4" s="2">
        <f>_xlfn.XLOOKUP(Performance[[#This Row],[Session_ID]],Sessions[Session_ID],Sessions[Date],"Not found")</f>
        <v>46056</v>
      </c>
      <c r="C4" s="1" t="s">
        <v>160</v>
      </c>
      <c r="D4" s="1">
        <v>3</v>
      </c>
      <c r="E4" s="1">
        <v>8</v>
      </c>
      <c r="F4" s="1">
        <v>110</v>
      </c>
      <c r="G4" s="1">
        <v>3</v>
      </c>
      <c r="H4" s="1">
        <f>IF(Performance[[#This Row],[RIR]]="","",10-Performance[[#This Row],[RIR]])</f>
        <v>7</v>
      </c>
      <c r="I4" s="1" t="str" cm="1">
        <f t="array" ref="I4">_xlfn.XLOOKUP(Performance[[#This Row],[RPE]],RPE_Detalis[[#All],[RPE]],RPE_Detalis[[#All],[Detalis]],"")</f>
        <v>Hard, but controlled</v>
      </c>
      <c r="J4" s="1">
        <f>Performance[[#This Row],[Reps]]*Performance[[#This Row],[Weight]]</f>
        <v>880</v>
      </c>
      <c r="K4" s="1" t="str">
        <f>_xlfn.XLOOKUP(Performance[[#This Row],[Exercise_Name]],Exercises[Exercise_Name],Exercises[Exercise_ID],"Not found")</f>
        <v>EX-113</v>
      </c>
      <c r="L4" s="1">
        <f>YEAR(Performance[[#This Row],[Date]])</f>
        <v>2026</v>
      </c>
      <c r="M4" s="1" t="str">
        <f>_xlfn.XLOOKUP(MONTH(Performance[[#This Row],[Date]]),Mapping!$K$1:$K$12,Mapping!$L$1:$L$12)</f>
        <v>February</v>
      </c>
      <c r="N4" s="1" t="str">
        <f>_xlfn.XLOOKUP(WEEKDAY(Performance[[#This Row],[Date]]),Mapping!$N$1:$N$7,Mapping!$O$1:$O$7,)</f>
        <v>Wednesday</v>
      </c>
    </row>
    <row r="5" spans="1:14" ht="16.5" x14ac:dyDescent="0.25">
      <c r="A5" s="1">
        <v>1</v>
      </c>
      <c r="B5" s="2">
        <f>_xlfn.XLOOKUP(Performance[[#This Row],[Session_ID]],Sessions[Session_ID],Sessions[Date],"Not found")</f>
        <v>46056</v>
      </c>
      <c r="C5" s="1" t="s">
        <v>160</v>
      </c>
      <c r="D5" s="1">
        <v>4</v>
      </c>
      <c r="E5" s="1">
        <v>8</v>
      </c>
      <c r="F5" s="1">
        <v>110</v>
      </c>
      <c r="G5" s="1">
        <v>3</v>
      </c>
      <c r="H5" s="1">
        <f>IF(Performance[[#This Row],[RIR]]="","",10-Performance[[#This Row],[RIR]])</f>
        <v>7</v>
      </c>
      <c r="I5" s="1" t="str" cm="1">
        <f t="array" ref="I5">_xlfn.XLOOKUP(Performance[[#This Row],[RPE]],RPE_Detalis[[#All],[RPE]],RPE_Detalis[[#All],[Detalis]],"")</f>
        <v>Hard, but controlled</v>
      </c>
      <c r="J5" s="1">
        <f>Performance[[#This Row],[Reps]]*Performance[[#This Row],[Weight]]</f>
        <v>880</v>
      </c>
      <c r="K5" s="1" t="str">
        <f>_xlfn.XLOOKUP(Performance[[#This Row],[Exercise_Name]],Exercises[Exercise_Name],Exercises[Exercise_ID],"Not found")</f>
        <v>EX-113</v>
      </c>
      <c r="L5" s="1">
        <f>YEAR(Performance[[#This Row],[Date]])</f>
        <v>2026</v>
      </c>
      <c r="M5" s="1" t="str">
        <f>_xlfn.XLOOKUP(MONTH(Performance[[#This Row],[Date]]),Mapping!$K$1:$K$12,Mapping!$L$1:$L$12)</f>
        <v>February</v>
      </c>
      <c r="N5" s="30" t="str">
        <f>_xlfn.XLOOKUP(WEEKDAY(Performance[[#This Row],[Date]]),Mapping!$N$1:$N$7,Mapping!$O$1:$O$7,)</f>
        <v>Wednesday</v>
      </c>
    </row>
    <row r="6" spans="1:14" ht="16.5" x14ac:dyDescent="0.25">
      <c r="A6" s="1">
        <v>1</v>
      </c>
      <c r="B6" s="2">
        <f>_xlfn.XLOOKUP(Performance[[#This Row],[Session_ID]],Sessions[Session_ID],Sessions[Date],"Not found")</f>
        <v>46056</v>
      </c>
      <c r="C6" s="1" t="s">
        <v>99</v>
      </c>
      <c r="D6" s="1">
        <v>1</v>
      </c>
      <c r="E6" s="1">
        <v>10</v>
      </c>
      <c r="F6" s="1">
        <v>50</v>
      </c>
      <c r="G6" s="1">
        <v>5</v>
      </c>
      <c r="H6" s="1">
        <f>IF(Performance[[#This Row],[RIR]]="","",10-Performance[[#This Row],[RIR]])</f>
        <v>5</v>
      </c>
      <c r="I6" s="1" t="str" cm="1">
        <f t="array" ref="I6">_xlfn.XLOOKUP(Performance[[#This Row],[RPE]],RPE_Detalis[[#All],[RPE]],RPE_Detalis[[#All],[Detalis]],"")</f>
        <v>Warm-up / technic</v>
      </c>
      <c r="J6" s="1">
        <f>Performance[[#This Row],[Reps]]*Performance[[#This Row],[Weight]]</f>
        <v>500</v>
      </c>
      <c r="K6" s="1" t="str">
        <f>_xlfn.XLOOKUP(Performance[[#This Row],[Exercise_Name]],Exercises[Exercise_Name],Exercises[Exercise_ID],"Not found")</f>
        <v>EX-061</v>
      </c>
      <c r="L6" s="1">
        <f>YEAR(Performance[[#This Row],[Date]])</f>
        <v>2026</v>
      </c>
      <c r="M6" s="1" t="str">
        <f>_xlfn.XLOOKUP(MONTH(Performance[[#This Row],[Date]]),Mapping!$K$1:$K$12,Mapping!$L$1:$L$12)</f>
        <v>February</v>
      </c>
      <c r="N6" s="30" t="str">
        <f>_xlfn.XLOOKUP(WEEKDAY(Performance[[#This Row],[Date]]),Mapping!$N$1:$N$7,Mapping!$O$1:$O$7,)</f>
        <v>Wednesday</v>
      </c>
    </row>
    <row r="7" spans="1:14" ht="16.5" x14ac:dyDescent="0.25">
      <c r="A7" s="1">
        <v>1</v>
      </c>
      <c r="B7" s="2">
        <f>_xlfn.XLOOKUP(Performance[[#This Row],[Session_ID]],Sessions[Session_ID],Sessions[Date],"Not found")</f>
        <v>46056</v>
      </c>
      <c r="C7" s="1" t="s">
        <v>99</v>
      </c>
      <c r="D7" s="1">
        <v>2</v>
      </c>
      <c r="E7" s="1">
        <v>6</v>
      </c>
      <c r="F7" s="1">
        <v>70</v>
      </c>
      <c r="G7" s="1">
        <v>2</v>
      </c>
      <c r="H7" s="1">
        <f>IF(Performance[[#This Row],[RIR]]="","",10-Performance[[#This Row],[RIR]])</f>
        <v>8</v>
      </c>
      <c r="I7" s="1" t="str" cm="1">
        <f t="array" ref="I7">_xlfn.XLOOKUP(Performance[[#This Row],[RPE]],RPE_Detalis[[#All],[RPE]],RPE_Detalis[[#All],[Detalis]],"")</f>
        <v>Hard</v>
      </c>
      <c r="J7" s="1">
        <f>Performance[[#This Row],[Reps]]*Performance[[#This Row],[Weight]]</f>
        <v>420</v>
      </c>
      <c r="K7" s="1" t="str">
        <f>_xlfn.XLOOKUP(Performance[[#This Row],[Exercise_Name]],Exercises[Exercise_Name],Exercises[Exercise_ID],"Not found")</f>
        <v>EX-061</v>
      </c>
      <c r="L7" s="1">
        <f>YEAR(Performance[[#This Row],[Date]])</f>
        <v>2026</v>
      </c>
      <c r="M7" s="1" t="str">
        <f>_xlfn.XLOOKUP(MONTH(Performance[[#This Row],[Date]]),Mapping!$K$1:$K$12,Mapping!$L$1:$L$12)</f>
        <v>February</v>
      </c>
      <c r="N7" s="30" t="str">
        <f>_xlfn.XLOOKUP(WEEKDAY(Performance[[#This Row],[Date]]),Mapping!$N$1:$N$7,Mapping!$O$1:$O$7,)</f>
        <v>Wednesday</v>
      </c>
    </row>
    <row r="8" spans="1:14" ht="16.5" x14ac:dyDescent="0.25">
      <c r="A8" s="1">
        <v>1</v>
      </c>
      <c r="B8" s="2">
        <f>_xlfn.XLOOKUP(Performance[[#This Row],[Session_ID]],Sessions[Session_ID],Sessions[Date],"Not found")</f>
        <v>46056</v>
      </c>
      <c r="C8" s="1" t="s">
        <v>99</v>
      </c>
      <c r="D8" s="1">
        <v>3</v>
      </c>
      <c r="E8" s="1">
        <v>5</v>
      </c>
      <c r="F8" s="1">
        <v>70</v>
      </c>
      <c r="G8" s="1">
        <v>2</v>
      </c>
      <c r="H8" s="1">
        <f>IF(Performance[[#This Row],[RIR]]="","",10-Performance[[#This Row],[RIR]])</f>
        <v>8</v>
      </c>
      <c r="I8" s="1" t="str" cm="1">
        <f t="array" ref="I8">_xlfn.XLOOKUP(Performance[[#This Row],[RPE]],RPE_Detalis[[#All],[RPE]],RPE_Detalis[[#All],[Detalis]],"")</f>
        <v>Hard</v>
      </c>
      <c r="J8" s="1">
        <f>Performance[[#This Row],[Reps]]*Performance[[#This Row],[Weight]]</f>
        <v>350</v>
      </c>
      <c r="K8" s="1" t="str">
        <f>_xlfn.XLOOKUP(Performance[[#This Row],[Exercise_Name]],Exercises[Exercise_Name],Exercises[Exercise_ID],"Not found")</f>
        <v>EX-061</v>
      </c>
      <c r="L8" s="1">
        <f>YEAR(Performance[[#This Row],[Date]])</f>
        <v>2026</v>
      </c>
      <c r="M8" s="1" t="str">
        <f>_xlfn.XLOOKUP(MONTH(Performance[[#This Row],[Date]]),Mapping!$K$1:$K$12,Mapping!$L$1:$L$12)</f>
        <v>February</v>
      </c>
      <c r="N8" s="30" t="str">
        <f>_xlfn.XLOOKUP(WEEKDAY(Performance[[#This Row],[Date]]),Mapping!$N$1:$N$7,Mapping!$O$1:$O$7,)</f>
        <v>Wednesday</v>
      </c>
    </row>
    <row r="9" spans="1:14" ht="16.5" x14ac:dyDescent="0.25">
      <c r="A9" s="1">
        <v>1</v>
      </c>
      <c r="B9" s="2">
        <f>_xlfn.XLOOKUP(Performance[[#This Row],[Session_ID]],Sessions[Session_ID],Sessions[Date],"Not found")</f>
        <v>46056</v>
      </c>
      <c r="C9" s="1" t="s">
        <v>99</v>
      </c>
      <c r="D9" s="1">
        <v>4</v>
      </c>
      <c r="E9" s="1">
        <v>5</v>
      </c>
      <c r="F9" s="1">
        <v>70</v>
      </c>
      <c r="G9" s="1">
        <v>2</v>
      </c>
      <c r="H9" s="1">
        <f>IF(Performance[[#This Row],[RIR]]="","",10-Performance[[#This Row],[RIR]])</f>
        <v>8</v>
      </c>
      <c r="I9" s="1" t="str" cm="1">
        <f t="array" ref="I9">_xlfn.XLOOKUP(Performance[[#This Row],[RPE]],RPE_Detalis[[#All],[RPE]],RPE_Detalis[[#All],[Detalis]],"")</f>
        <v>Hard</v>
      </c>
      <c r="J9" s="1">
        <f>Performance[[#This Row],[Reps]]*Performance[[#This Row],[Weight]]</f>
        <v>350</v>
      </c>
      <c r="K9" s="1" t="str">
        <f>_xlfn.XLOOKUP(Performance[[#This Row],[Exercise_Name]],Exercises[Exercise_Name],Exercises[Exercise_ID],"Not found")</f>
        <v>EX-061</v>
      </c>
      <c r="L9" s="1">
        <f>YEAR(Performance[[#This Row],[Date]])</f>
        <v>2026</v>
      </c>
      <c r="M9" s="1" t="str">
        <f>_xlfn.XLOOKUP(MONTH(Performance[[#This Row],[Date]]),Mapping!$K$1:$K$12,Mapping!$L$1:$L$12)</f>
        <v>February</v>
      </c>
      <c r="N9" s="30" t="str">
        <f>_xlfn.XLOOKUP(WEEKDAY(Performance[[#This Row],[Date]]),Mapping!$N$1:$N$7,Mapping!$O$1:$O$7,)</f>
        <v>Wednesday</v>
      </c>
    </row>
    <row r="10" spans="1:14" ht="16.5" x14ac:dyDescent="0.25">
      <c r="A10" s="1">
        <v>1</v>
      </c>
      <c r="B10" s="2">
        <f>_xlfn.XLOOKUP(Performance[[#This Row],[Session_ID]],Sessions[Session_ID],Sessions[Date],"Not found")</f>
        <v>46056</v>
      </c>
      <c r="C10" s="1" t="s">
        <v>162</v>
      </c>
      <c r="D10" s="1">
        <v>1</v>
      </c>
      <c r="E10" s="1">
        <v>20</v>
      </c>
      <c r="F10" s="1">
        <v>20</v>
      </c>
      <c r="G10" s="1">
        <v>3</v>
      </c>
      <c r="H10" s="1">
        <f>IF(Performance[[#This Row],[RIR]]="","",10-Performance[[#This Row],[RIR]])</f>
        <v>7</v>
      </c>
      <c r="I10" s="1" t="str" cm="1">
        <f t="array" ref="I10">_xlfn.XLOOKUP(Performance[[#This Row],[RPE]],RPE_Detalis[[#All],[RPE]],RPE_Detalis[[#All],[Detalis]],"")</f>
        <v>Hard, but controlled</v>
      </c>
      <c r="J10" s="1">
        <f>Performance[[#This Row],[Reps]]*Performance[[#This Row],[Weight]]</f>
        <v>400</v>
      </c>
      <c r="K10" s="1" t="str">
        <f>_xlfn.XLOOKUP(Performance[[#This Row],[Exercise_Name]],Exercises[Exercise_Name],Exercises[Exercise_ID],"Not found")</f>
        <v>EX-115</v>
      </c>
      <c r="L10" s="1">
        <f>YEAR(Performance[[#This Row],[Date]])</f>
        <v>2026</v>
      </c>
      <c r="M10" s="1" t="str">
        <f>_xlfn.XLOOKUP(MONTH(Performance[[#This Row],[Date]]),Mapping!$K$1:$K$12,Mapping!$L$1:$L$12)</f>
        <v>February</v>
      </c>
      <c r="N10" s="30" t="str">
        <f>_xlfn.XLOOKUP(WEEKDAY(Performance[[#This Row],[Date]]),Mapping!$N$1:$N$7,Mapping!$O$1:$O$7,)</f>
        <v>Wednesday</v>
      </c>
    </row>
    <row r="11" spans="1:14" x14ac:dyDescent="0.25">
      <c r="A11" s="1">
        <v>1</v>
      </c>
      <c r="B11" s="2">
        <f>_xlfn.XLOOKUP(Performance[[#This Row],[Session_ID]],Sessions[Session_ID],Sessions[Date],"Not found")</f>
        <v>46056</v>
      </c>
      <c r="C11" s="1" t="s">
        <v>162</v>
      </c>
      <c r="D11" s="1">
        <v>2</v>
      </c>
      <c r="E11" s="1">
        <v>20</v>
      </c>
      <c r="F11" s="1">
        <v>20</v>
      </c>
      <c r="G11" s="1">
        <v>3</v>
      </c>
      <c r="H11" s="1">
        <f>IF(Performance[[#This Row],[RIR]]="","",10-Performance[[#This Row],[RIR]])</f>
        <v>7</v>
      </c>
      <c r="I11" s="1" t="str" cm="1">
        <f t="array" ref="I11">_xlfn.XLOOKUP(Performance[[#This Row],[RPE]],RPE_Detalis[[#All],[RPE]],RPE_Detalis[[#All],[Detalis]],"")</f>
        <v>Hard, but controlled</v>
      </c>
      <c r="J11" s="1">
        <f>Performance[[#This Row],[Reps]]*Performance[[#This Row],[Weight]]</f>
        <v>400</v>
      </c>
      <c r="K11" s="1" t="str">
        <f>_xlfn.XLOOKUP(Performance[[#This Row],[Exercise_Name]],Exercises[Exercise_Name],Exercises[Exercise_ID],"Not found")</f>
        <v>EX-115</v>
      </c>
      <c r="L11" s="1">
        <f>YEAR(Performance[[#This Row],[Date]])</f>
        <v>2026</v>
      </c>
      <c r="M11" s="1" t="str">
        <f>_xlfn.XLOOKUP(MONTH(Performance[[#This Row],[Date]]),Mapping!$K$1:$K$12,Mapping!$L$1:$L$12)</f>
        <v>February</v>
      </c>
      <c r="N11" s="1" t="str">
        <f>_xlfn.XLOOKUP(WEEKDAY(Performance[[#This Row],[Date]]),Mapping!$N$1:$N$7,Mapping!$O$1:$O$7,)</f>
        <v>Wednesday</v>
      </c>
    </row>
    <row r="12" spans="1:14" x14ac:dyDescent="0.25">
      <c r="A12" s="1">
        <v>1</v>
      </c>
      <c r="B12" s="2">
        <f>_xlfn.XLOOKUP(Performance[[#This Row],[Session_ID]],Sessions[Session_ID],Sessions[Date],"Not found")</f>
        <v>46056</v>
      </c>
      <c r="C12" s="1" t="s">
        <v>162</v>
      </c>
      <c r="D12" s="1">
        <v>3</v>
      </c>
      <c r="E12" s="1">
        <v>20</v>
      </c>
      <c r="F12" s="1">
        <v>20</v>
      </c>
      <c r="G12" s="1">
        <v>2</v>
      </c>
      <c r="H12" s="1">
        <f>IF(Performance[[#This Row],[RIR]]="","",10-Performance[[#This Row],[RIR]])</f>
        <v>8</v>
      </c>
      <c r="I12" s="1" t="str" cm="1">
        <f t="array" ref="I12">_xlfn.XLOOKUP(Performance[[#This Row],[RPE]],RPE_Detalis[[#All],[RPE]],RPE_Detalis[[#All],[Detalis]],"")</f>
        <v>Hard</v>
      </c>
      <c r="J12" s="1">
        <f>Performance[[#This Row],[Reps]]*Performance[[#This Row],[Weight]]</f>
        <v>400</v>
      </c>
      <c r="K12" s="1" t="str">
        <f>_xlfn.XLOOKUP(Performance[[#This Row],[Exercise_Name]],Exercises[Exercise_Name],Exercises[Exercise_ID],"Not found")</f>
        <v>EX-115</v>
      </c>
      <c r="L12" s="1">
        <f>YEAR(Performance[[#This Row],[Date]])</f>
        <v>2026</v>
      </c>
      <c r="M12" s="1" t="str">
        <f>_xlfn.XLOOKUP(MONTH(Performance[[#This Row],[Date]]),Mapping!$K$1:$K$12,Mapping!$L$1:$L$12)</f>
        <v>February</v>
      </c>
      <c r="N12" s="1" t="str">
        <f>_xlfn.XLOOKUP(WEEKDAY(Performance[[#This Row],[Date]]),Mapping!$N$1:$N$7,Mapping!$O$1:$O$7,)</f>
        <v>Wednesday</v>
      </c>
    </row>
    <row r="13" spans="1:14" x14ac:dyDescent="0.25">
      <c r="A13" s="1">
        <v>1</v>
      </c>
      <c r="B13" s="2">
        <f>_xlfn.XLOOKUP(Performance[[#This Row],[Session_ID]],Sessions[Session_ID],Sessions[Date],"Not found")</f>
        <v>46056</v>
      </c>
      <c r="C13" s="1" t="s">
        <v>158</v>
      </c>
      <c r="D13" s="1">
        <v>1</v>
      </c>
      <c r="E13" s="1">
        <v>18</v>
      </c>
      <c r="F13" s="1">
        <v>140</v>
      </c>
      <c r="G13" s="1">
        <v>1</v>
      </c>
      <c r="H13" s="1">
        <f>IF(Performance[[#This Row],[RIR]]="","",10-Performance[[#This Row],[RIR]])</f>
        <v>9</v>
      </c>
      <c r="I13" s="1" t="str" cm="1">
        <f t="array" ref="I13">_xlfn.XLOOKUP(Performance[[#This Row],[RPE]],RPE_Detalis[[#All],[RPE]],RPE_Detalis[[#All],[Detalis]],"")</f>
        <v>Very hard, almost max</v>
      </c>
      <c r="J13" s="1">
        <f>Performance[[#This Row],[Reps]]*Performance[[#This Row],[Weight]]</f>
        <v>2520</v>
      </c>
      <c r="K13" s="1" t="str">
        <f>_xlfn.XLOOKUP(Performance[[#This Row],[Exercise_Name]],Exercises[Exercise_Name],Exercises[Exercise_ID],"Not found")</f>
        <v>EX-111</v>
      </c>
      <c r="L13" s="1">
        <f>YEAR(Performance[[#This Row],[Date]])</f>
        <v>2026</v>
      </c>
      <c r="M13" s="1" t="str">
        <f>_xlfn.XLOOKUP(MONTH(Performance[[#This Row],[Date]]),Mapping!$K$1:$K$12,Mapping!$L$1:$L$12)</f>
        <v>February</v>
      </c>
      <c r="N13" s="1" t="str">
        <f>_xlfn.XLOOKUP(WEEKDAY(Performance[[#This Row],[Date]]),Mapping!$N$1:$N$7,Mapping!$O$1:$O$7,)</f>
        <v>Wednesday</v>
      </c>
    </row>
    <row r="14" spans="1:14" x14ac:dyDescent="0.25">
      <c r="A14" s="1">
        <v>1</v>
      </c>
      <c r="B14" s="2">
        <f>_xlfn.XLOOKUP(Performance[[#This Row],[Session_ID]],Sessions[Session_ID],Sessions[Date],"Not found")</f>
        <v>46056</v>
      </c>
      <c r="C14" s="1" t="s">
        <v>158</v>
      </c>
      <c r="D14" s="1">
        <v>2</v>
      </c>
      <c r="E14" s="1">
        <v>16</v>
      </c>
      <c r="F14" s="1">
        <v>140</v>
      </c>
      <c r="G14" s="1">
        <v>1</v>
      </c>
      <c r="H14" s="1">
        <f>IF(Performance[[#This Row],[RIR]]="","",10-Performance[[#This Row],[RIR]])</f>
        <v>9</v>
      </c>
      <c r="I14" s="1" t="str" cm="1">
        <f t="array" ref="I14">_xlfn.XLOOKUP(Performance[[#This Row],[RPE]],RPE_Detalis[[#All],[RPE]],RPE_Detalis[[#All],[Detalis]],"")</f>
        <v>Very hard, almost max</v>
      </c>
      <c r="J14" s="1">
        <f>Performance[[#This Row],[Reps]]*Performance[[#This Row],[Weight]]</f>
        <v>2240</v>
      </c>
      <c r="K14" s="1" t="str">
        <f>_xlfn.XLOOKUP(Performance[[#This Row],[Exercise_Name]],Exercises[Exercise_Name],Exercises[Exercise_ID],"Not found")</f>
        <v>EX-111</v>
      </c>
      <c r="L14" s="1">
        <f>YEAR(Performance[[#This Row],[Date]])</f>
        <v>2026</v>
      </c>
      <c r="M14" s="1" t="str">
        <f>_xlfn.XLOOKUP(MONTH(Performance[[#This Row],[Date]]),Mapping!$K$1:$K$12,Mapping!$L$1:$L$12)</f>
        <v>February</v>
      </c>
      <c r="N14" s="1" t="str">
        <f>_xlfn.XLOOKUP(WEEKDAY(Performance[[#This Row],[Date]]),Mapping!$N$1:$N$7,Mapping!$O$1:$O$7,)</f>
        <v>Wednesday</v>
      </c>
    </row>
    <row r="15" spans="1:14" x14ac:dyDescent="0.25">
      <c r="A15" s="1">
        <v>1</v>
      </c>
      <c r="B15" s="2">
        <f>_xlfn.XLOOKUP(Performance[[#This Row],[Session_ID]],Sessions[Session_ID],Sessions[Date],"Not found")</f>
        <v>46056</v>
      </c>
      <c r="C15" s="1" t="s">
        <v>158</v>
      </c>
      <c r="D15" s="1">
        <v>3</v>
      </c>
      <c r="E15" s="1">
        <v>16</v>
      </c>
      <c r="F15" s="1">
        <v>140</v>
      </c>
      <c r="G15" s="1">
        <v>1</v>
      </c>
      <c r="H15" s="1">
        <f>IF(Performance[[#This Row],[RIR]]="","",10-Performance[[#This Row],[RIR]])</f>
        <v>9</v>
      </c>
      <c r="I15" s="1" t="str" cm="1">
        <f t="array" ref="I15">_xlfn.XLOOKUP(Performance[[#This Row],[RPE]],RPE_Detalis[[#All],[RPE]],RPE_Detalis[[#All],[Detalis]],"")</f>
        <v>Very hard, almost max</v>
      </c>
      <c r="J15" s="1">
        <f>Performance[[#This Row],[Reps]]*Performance[[#This Row],[Weight]]</f>
        <v>2240</v>
      </c>
      <c r="K15" s="1" t="str">
        <f>_xlfn.XLOOKUP(Performance[[#This Row],[Exercise_Name]],Exercises[Exercise_Name],Exercises[Exercise_ID],"Not found")</f>
        <v>EX-111</v>
      </c>
      <c r="L15" s="1">
        <f>YEAR(Performance[[#This Row],[Date]])</f>
        <v>2026</v>
      </c>
      <c r="M15" s="1" t="str">
        <f>_xlfn.XLOOKUP(MONTH(Performance[[#This Row],[Date]]),Mapping!$K$1:$K$12,Mapping!$L$1:$L$12)</f>
        <v>February</v>
      </c>
      <c r="N15" s="1" t="str">
        <f>_xlfn.XLOOKUP(WEEKDAY(Performance[[#This Row],[Date]]),Mapping!$N$1:$N$7,Mapping!$O$1:$O$7,)</f>
        <v>Wednesday</v>
      </c>
    </row>
    <row r="16" spans="1:14" x14ac:dyDescent="0.25">
      <c r="A16" s="1">
        <v>1</v>
      </c>
      <c r="B16" s="2">
        <f>_xlfn.XLOOKUP(Performance[[#This Row],[Session_ID]],Sessions[Session_ID],Sessions[Date],"Not found")</f>
        <v>46056</v>
      </c>
      <c r="C16" s="1" t="s">
        <v>172</v>
      </c>
      <c r="D16" s="1">
        <v>1</v>
      </c>
      <c r="E16" s="1">
        <v>8</v>
      </c>
      <c r="F16" s="1">
        <v>1</v>
      </c>
      <c r="G16" s="1">
        <v>2</v>
      </c>
      <c r="H16" s="1">
        <f>IF(Performance[[#This Row],[RIR]]="","",10-Performance[[#This Row],[RIR]])</f>
        <v>8</v>
      </c>
      <c r="I16" s="1" t="str" cm="1">
        <f t="array" ref="I16">_xlfn.XLOOKUP(Performance[[#This Row],[RPE]],RPE_Detalis[[#All],[RPE]],RPE_Detalis[[#All],[Detalis]],"")</f>
        <v>Hard</v>
      </c>
      <c r="J16" s="1">
        <f>Performance[[#This Row],[Reps]]*Performance[[#This Row],[Weight]]</f>
        <v>8</v>
      </c>
      <c r="K16" s="1" t="str">
        <f>_xlfn.XLOOKUP(Performance[[#This Row],[Exercise_Name]],Exercises[Exercise_Name],Exercises[Exercise_ID],"Not found")</f>
        <v>Not found</v>
      </c>
      <c r="L16" s="1">
        <f>YEAR(Performance[[#This Row],[Date]])</f>
        <v>2026</v>
      </c>
      <c r="M16" s="1" t="str">
        <f>_xlfn.XLOOKUP(MONTH(Performance[[#This Row],[Date]]),Mapping!$K$1:$K$12,Mapping!$L$1:$L$12)</f>
        <v>February</v>
      </c>
      <c r="N16" s="1" t="str">
        <f>_xlfn.XLOOKUP(WEEKDAY(Performance[[#This Row],[Date]]),Mapping!$N$1:$N$7,Mapping!$O$1:$O$7,)</f>
        <v>Wednesday</v>
      </c>
    </row>
    <row r="17" spans="1:14" x14ac:dyDescent="0.25">
      <c r="A17" s="1">
        <v>1</v>
      </c>
      <c r="B17" s="2">
        <f>_xlfn.XLOOKUP(Performance[[#This Row],[Session_ID]],Sessions[Session_ID],Sessions[Date],"Not found")</f>
        <v>46056</v>
      </c>
      <c r="C17" s="1" t="s">
        <v>172</v>
      </c>
      <c r="D17" s="1">
        <v>2</v>
      </c>
      <c r="E17" s="1">
        <v>10</v>
      </c>
      <c r="F17" s="1">
        <v>1</v>
      </c>
      <c r="G17" s="1">
        <v>1</v>
      </c>
      <c r="H17" s="1">
        <f>IF(Performance[[#This Row],[RIR]]="","",10-Performance[[#This Row],[RIR]])</f>
        <v>9</v>
      </c>
      <c r="I17" s="1" t="str" cm="1">
        <f t="array" ref="I17">_xlfn.XLOOKUP(Performance[[#This Row],[RPE]],RPE_Detalis[[#All],[RPE]],RPE_Detalis[[#All],[Detalis]],"")</f>
        <v>Very hard, almost max</v>
      </c>
      <c r="J17" s="1">
        <f>Performance[[#This Row],[Reps]]*Performance[[#This Row],[Weight]]</f>
        <v>10</v>
      </c>
      <c r="K17" s="1" t="str">
        <f>_xlfn.XLOOKUP(Performance[[#This Row],[Exercise_Name]],Exercises[Exercise_Name],Exercises[Exercise_ID],"Not found")</f>
        <v>Not found</v>
      </c>
      <c r="L17" s="1">
        <f>YEAR(Performance[[#This Row],[Date]])</f>
        <v>2026</v>
      </c>
      <c r="M17" s="1" t="str">
        <f>_xlfn.XLOOKUP(MONTH(Performance[[#This Row],[Date]]),Mapping!$K$1:$K$12,Mapping!$L$1:$L$12)</f>
        <v>February</v>
      </c>
      <c r="N17" s="1" t="str">
        <f>_xlfn.XLOOKUP(WEEKDAY(Performance[[#This Row],[Date]]),Mapping!$N$1:$N$7,Mapping!$O$1:$O$7,)</f>
        <v>Wednesday</v>
      </c>
    </row>
    <row r="18" spans="1:14" x14ac:dyDescent="0.25">
      <c r="A18" s="1">
        <v>1</v>
      </c>
      <c r="B18" s="2">
        <f>_xlfn.XLOOKUP(Performance[[#This Row],[Session_ID]],Sessions[Session_ID],Sessions[Date],"Not found")</f>
        <v>46056</v>
      </c>
      <c r="C18" s="1" t="s">
        <v>172</v>
      </c>
      <c r="D18" s="1">
        <v>3</v>
      </c>
      <c r="E18" s="1">
        <v>8</v>
      </c>
      <c r="F18" s="1">
        <v>1</v>
      </c>
      <c r="G18" s="1">
        <v>1</v>
      </c>
      <c r="H18" s="1">
        <f>IF(Performance[[#This Row],[RIR]]="","",10-Performance[[#This Row],[RIR]])</f>
        <v>9</v>
      </c>
      <c r="I18" s="1" t="str" cm="1">
        <f t="array" ref="I18">_xlfn.XLOOKUP(Performance[[#This Row],[RPE]],RPE_Detalis[[#All],[RPE]],RPE_Detalis[[#All],[Detalis]],"")</f>
        <v>Very hard, almost max</v>
      </c>
      <c r="J18" s="1">
        <f>Performance[[#This Row],[Reps]]*Performance[[#This Row],[Weight]]</f>
        <v>8</v>
      </c>
      <c r="K18" s="1" t="str">
        <f>_xlfn.XLOOKUP(Performance[[#This Row],[Exercise_Name]],Exercises[Exercise_Name],Exercises[Exercise_ID],"Not found")</f>
        <v>Not found</v>
      </c>
      <c r="L18" s="1">
        <f>YEAR(Performance[[#This Row],[Date]])</f>
        <v>2026</v>
      </c>
      <c r="M18" s="1" t="str">
        <f>_xlfn.XLOOKUP(MONTH(Performance[[#This Row],[Date]]),Mapping!$K$1:$K$12,Mapping!$L$1:$L$12)</f>
        <v>February</v>
      </c>
      <c r="N18" s="1" t="str">
        <f>_xlfn.XLOOKUP(WEEKDAY(Performance[[#This Row],[Date]]),Mapping!$N$1:$N$7,Mapping!$O$1:$O$7,)</f>
        <v>Wednesday</v>
      </c>
    </row>
    <row r="19" spans="1:14" x14ac:dyDescent="0.25">
      <c r="A19" s="1">
        <v>1</v>
      </c>
      <c r="B19" s="2">
        <f>_xlfn.XLOOKUP(Performance[[#This Row],[Session_ID]],Sessions[Session_ID],Sessions[Date],"Not found")</f>
        <v>46056</v>
      </c>
      <c r="C19" s="1" t="s">
        <v>38</v>
      </c>
      <c r="D19" s="1">
        <v>1</v>
      </c>
      <c r="E19" s="1">
        <v>25</v>
      </c>
      <c r="F19" s="1">
        <v>1</v>
      </c>
      <c r="G19" s="1">
        <v>3</v>
      </c>
      <c r="H19" s="1">
        <f>IF(Performance[[#This Row],[RIR]]="","",10-Performance[[#This Row],[RIR]])</f>
        <v>7</v>
      </c>
      <c r="I19" s="1" t="str" cm="1">
        <f t="array" ref="I19">_xlfn.XLOOKUP(Performance[[#This Row],[RPE]],RPE_Detalis[[#All],[RPE]],RPE_Detalis[[#All],[Detalis]],"")</f>
        <v>Hard, but controlled</v>
      </c>
      <c r="J19" s="1">
        <f>Performance[[#This Row],[Reps]]*Performance[[#This Row],[Weight]]</f>
        <v>25</v>
      </c>
      <c r="K19" s="1" t="str">
        <f>_xlfn.XLOOKUP(Performance[[#This Row],[Exercise_Name]],Exercises[Exercise_Name],Exercises[Exercise_ID],"Not found")</f>
        <v>EX-007</v>
      </c>
      <c r="L19" s="1">
        <f>YEAR(Performance[[#This Row],[Date]])</f>
        <v>2026</v>
      </c>
      <c r="M19" s="1" t="str">
        <f>_xlfn.XLOOKUP(MONTH(Performance[[#This Row],[Date]]),Mapping!$K$1:$K$12,Mapping!$L$1:$L$12)</f>
        <v>February</v>
      </c>
      <c r="N19" s="1" t="str">
        <f>_xlfn.XLOOKUP(WEEKDAY(Performance[[#This Row],[Date]]),Mapping!$N$1:$N$7,Mapping!$O$1:$O$7,)</f>
        <v>Wednesday</v>
      </c>
    </row>
    <row r="20" spans="1:14" x14ac:dyDescent="0.25">
      <c r="A20" s="1">
        <v>1</v>
      </c>
      <c r="B20" s="2">
        <f>_xlfn.XLOOKUP(Performance[[#This Row],[Session_ID]],Sessions[Session_ID],Sessions[Date],"Not found")</f>
        <v>46056</v>
      </c>
      <c r="C20" s="1" t="s">
        <v>38</v>
      </c>
      <c r="D20" s="1">
        <v>2</v>
      </c>
      <c r="E20" s="1">
        <v>25</v>
      </c>
      <c r="F20" s="1">
        <v>1</v>
      </c>
      <c r="G20" s="1">
        <v>2</v>
      </c>
      <c r="H20" s="1">
        <f>IF(Performance[[#This Row],[RIR]]="","",10-Performance[[#This Row],[RIR]])</f>
        <v>8</v>
      </c>
      <c r="I20" s="1" t="str" cm="1">
        <f t="array" ref="I20">_xlfn.XLOOKUP(Performance[[#This Row],[RPE]],RPE_Detalis[[#All],[RPE]],RPE_Detalis[[#All],[Detalis]],"")</f>
        <v>Hard</v>
      </c>
      <c r="J20" s="1">
        <f>Performance[[#This Row],[Reps]]*Performance[[#This Row],[Weight]]</f>
        <v>25</v>
      </c>
      <c r="K20" s="1" t="str">
        <f>_xlfn.XLOOKUP(Performance[[#This Row],[Exercise_Name]],Exercises[Exercise_Name],Exercises[Exercise_ID],"Not found")</f>
        <v>EX-007</v>
      </c>
      <c r="L20" s="1">
        <f>YEAR(Performance[[#This Row],[Date]])</f>
        <v>2026</v>
      </c>
      <c r="M20" s="1" t="str">
        <f>_xlfn.XLOOKUP(MONTH(Performance[[#This Row],[Date]]),Mapping!$K$1:$K$12,Mapping!$L$1:$L$12)</f>
        <v>February</v>
      </c>
      <c r="N20" s="1" t="str">
        <f>_xlfn.XLOOKUP(WEEKDAY(Performance[[#This Row],[Date]]),Mapping!$N$1:$N$7,Mapping!$O$1:$O$7,)</f>
        <v>Wednesday</v>
      </c>
    </row>
    <row r="21" spans="1:14" x14ac:dyDescent="0.25">
      <c r="A21" s="1">
        <v>1</v>
      </c>
      <c r="B21" s="2">
        <f>_xlfn.XLOOKUP(Performance[[#This Row],[Session_ID]],Sessions[Session_ID],Sessions[Date],"Not found")</f>
        <v>46056</v>
      </c>
      <c r="C21" s="1" t="s">
        <v>38</v>
      </c>
      <c r="D21" s="1">
        <v>3</v>
      </c>
      <c r="E21" s="1">
        <v>20</v>
      </c>
      <c r="F21" s="1">
        <v>1</v>
      </c>
      <c r="G21" s="1">
        <v>0</v>
      </c>
      <c r="H21" s="1">
        <f>IF(Performance[[#This Row],[RIR]]="","",10-Performance[[#This Row],[RIR]])</f>
        <v>10</v>
      </c>
      <c r="I21" s="1" t="str" cm="1">
        <f t="array" ref="I21">_xlfn.XLOOKUP(Performance[[#This Row],[RPE]],RPE_Detalis[[#All],[RPE]],RPE_Detalis[[#All],[Detalis]],"")</f>
        <v>MAX</v>
      </c>
      <c r="J21" s="1">
        <f>Performance[[#This Row],[Reps]]*Performance[[#This Row],[Weight]]</f>
        <v>20</v>
      </c>
      <c r="K21" s="1" t="str">
        <f>_xlfn.XLOOKUP(Performance[[#This Row],[Exercise_Name]],Exercises[Exercise_Name],Exercises[Exercise_ID],"Not found")</f>
        <v>EX-007</v>
      </c>
      <c r="L21" s="1">
        <f>YEAR(Performance[[#This Row],[Date]])</f>
        <v>2026</v>
      </c>
      <c r="M21" s="1" t="str">
        <f>_xlfn.XLOOKUP(MONTH(Performance[[#This Row],[Date]]),Mapping!$K$1:$K$12,Mapping!$L$1:$L$12)</f>
        <v>February</v>
      </c>
      <c r="N21" s="1" t="str">
        <f>_xlfn.XLOOKUP(WEEKDAY(Performance[[#This Row],[Date]]),Mapping!$N$1:$N$7,Mapping!$O$1:$O$7,)</f>
        <v>Wednesday</v>
      </c>
    </row>
    <row r="22" spans="1:14" x14ac:dyDescent="0.25">
      <c r="A22" s="1">
        <v>2</v>
      </c>
      <c r="B22" s="2">
        <f>_xlfn.XLOOKUP(Performance[[#This Row],[Session_ID]],Sessions[Session_ID],Sessions[Date],"Not found")</f>
        <v>46085</v>
      </c>
      <c r="C22" s="1" t="s">
        <v>160</v>
      </c>
      <c r="D22" s="1">
        <v>4</v>
      </c>
      <c r="E22" s="1">
        <v>16</v>
      </c>
      <c r="F22" s="1">
        <v>87</v>
      </c>
      <c r="G22" s="1">
        <v>3</v>
      </c>
      <c r="H22" s="1">
        <f>IF(Performance[[#This Row],[RIR]]="","",10-Performance[[#This Row],[RIR]])</f>
        <v>7</v>
      </c>
      <c r="I22" s="1" t="str" cm="1">
        <f t="array" ref="I22">_xlfn.XLOOKUP(Performance[[#This Row],[RPE]],RPE_Detalis[[#All],[RPE]],RPE_Detalis[[#All],[Detalis]],"")</f>
        <v>Hard, but controlled</v>
      </c>
      <c r="J22" s="1">
        <f>Performance[[#This Row],[Reps]]*Performance[[#This Row],[Weight]]</f>
        <v>1392</v>
      </c>
      <c r="K22" s="1" t="str">
        <f>_xlfn.XLOOKUP(Performance[[#This Row],[Exercise_Name]],Exercises[Exercise_Name],Exercises[Exercise_ID],"Not found")</f>
        <v>EX-113</v>
      </c>
      <c r="L22" s="1">
        <f>YEAR(Performance[[#This Row],[Date]])</f>
        <v>2026</v>
      </c>
      <c r="M22" s="1" t="str">
        <f>_xlfn.XLOOKUP(MONTH(Performance[[#This Row],[Date]]),Mapping!$K$1:$K$12,Mapping!$L$1:$L$12)</f>
        <v>March</v>
      </c>
      <c r="N22" s="1" t="str">
        <f>_xlfn.XLOOKUP(WEEKDAY(Performance[[#This Row],[Date]]),Mapping!$N$1:$N$7,Mapping!$O$1:$O$7,)</f>
        <v>Thursday</v>
      </c>
    </row>
    <row r="23" spans="1:14" x14ac:dyDescent="0.25">
      <c r="A23" s="1">
        <v>2</v>
      </c>
      <c r="B23" s="2">
        <f>_xlfn.XLOOKUP(Performance[[#This Row],[Session_ID]],Sessions[Session_ID],Sessions[Date],"Not found")</f>
        <v>46085</v>
      </c>
      <c r="C23" s="1" t="s">
        <v>160</v>
      </c>
      <c r="D23" s="1">
        <v>3</v>
      </c>
      <c r="E23" s="1">
        <v>18</v>
      </c>
      <c r="F23" s="1">
        <v>74</v>
      </c>
      <c r="G23" s="1">
        <v>3</v>
      </c>
      <c r="H23" s="1">
        <f>IF(Performance[[#This Row],[RIR]]="","",10-Performance[[#This Row],[RIR]])</f>
        <v>7</v>
      </c>
      <c r="I23" s="1" t="str" cm="1">
        <f t="array" ref="I23">_xlfn.XLOOKUP(Performance[[#This Row],[RPE]],RPE_Detalis[[#All],[RPE]],RPE_Detalis[[#All],[Detalis]],"")</f>
        <v>Hard, but controlled</v>
      </c>
      <c r="J23" s="1">
        <f>Performance[[#This Row],[Reps]]*Performance[[#This Row],[Weight]]</f>
        <v>1332</v>
      </c>
      <c r="K23" s="1" t="str">
        <f>_xlfn.XLOOKUP(Performance[[#This Row],[Exercise_Name]],Exercises[Exercise_Name],Exercises[Exercise_ID],"Not found")</f>
        <v>EX-113</v>
      </c>
      <c r="L23" s="1">
        <f>YEAR(Performance[[#This Row],[Date]])</f>
        <v>2026</v>
      </c>
      <c r="M23" s="1" t="str">
        <f>_xlfn.XLOOKUP(MONTH(Performance[[#This Row],[Date]]),Mapping!$K$1:$K$12,Mapping!$L$1:$L$12)</f>
        <v>March</v>
      </c>
      <c r="N23" s="1" t="str">
        <f>_xlfn.XLOOKUP(WEEKDAY(Performance[[#This Row],[Date]]),Mapping!$N$1:$N$7,Mapping!$O$1:$O$7,)</f>
        <v>Thursday</v>
      </c>
    </row>
    <row r="24" spans="1:14" x14ac:dyDescent="0.25">
      <c r="A24" s="1">
        <v>2</v>
      </c>
      <c r="B24" s="2">
        <f>_xlfn.XLOOKUP(Performance[[#This Row],[Session_ID]],Sessions[Session_ID],Sessions[Date],"Not found")</f>
        <v>46085</v>
      </c>
      <c r="C24" s="1" t="s">
        <v>160</v>
      </c>
      <c r="D24" s="1">
        <v>1</v>
      </c>
      <c r="E24" s="1">
        <v>17</v>
      </c>
      <c r="F24" s="1">
        <v>10</v>
      </c>
      <c r="G24" s="1">
        <v>3</v>
      </c>
      <c r="H24" s="1">
        <f>IF(Performance[[#This Row],[RIR]]="","",10-Performance[[#This Row],[RIR]])</f>
        <v>7</v>
      </c>
      <c r="I24" s="1" t="str" cm="1">
        <f t="array" ref="I24">_xlfn.XLOOKUP(Performance[[#This Row],[RPE]],RPE_Detalis[[#All],[RPE]],RPE_Detalis[[#All],[Detalis]],"")</f>
        <v>Hard, but controlled</v>
      </c>
      <c r="J24" s="1">
        <f>Performance[[#This Row],[Reps]]*Performance[[#This Row],[Weight]]</f>
        <v>170</v>
      </c>
      <c r="K24" s="1" t="str">
        <f>_xlfn.XLOOKUP(Performance[[#This Row],[Exercise_Name]],Exercises[Exercise_Name],Exercises[Exercise_ID],"Not found")</f>
        <v>EX-113</v>
      </c>
      <c r="L24" s="1">
        <f>YEAR(Performance[[#This Row],[Date]])</f>
        <v>2026</v>
      </c>
      <c r="M24" s="1" t="str">
        <f>_xlfn.XLOOKUP(MONTH(Performance[[#This Row],[Date]]),Mapping!$K$1:$K$12,Mapping!$L$1:$L$12)</f>
        <v>March</v>
      </c>
      <c r="N24" s="1" t="str">
        <f>_xlfn.XLOOKUP(WEEKDAY(Performance[[#This Row],[Date]]),Mapping!$N$1:$N$7,Mapping!$O$1:$O$7,)</f>
        <v>Thursday</v>
      </c>
    </row>
    <row r="25" spans="1:14" x14ac:dyDescent="0.25">
      <c r="A25" s="1">
        <v>2</v>
      </c>
      <c r="B25" s="2">
        <f>_xlfn.XLOOKUP(Performance[[#This Row],[Session_ID]],Sessions[Session_ID],Sessions[Date],"Not found")</f>
        <v>46085</v>
      </c>
      <c r="C25" s="1" t="s">
        <v>160</v>
      </c>
      <c r="D25" s="1">
        <v>3</v>
      </c>
      <c r="E25" s="1">
        <v>19</v>
      </c>
      <c r="F25" s="1">
        <v>93</v>
      </c>
      <c r="G25" s="1">
        <v>3</v>
      </c>
      <c r="H25" s="1">
        <f>IF(Performance[[#This Row],[RIR]]="","",10-Performance[[#This Row],[RIR]])</f>
        <v>7</v>
      </c>
      <c r="I25" s="1" t="str" cm="1">
        <f t="array" ref="I25">_xlfn.XLOOKUP(Performance[[#This Row],[RPE]],RPE_Detalis[[#All],[RPE]],RPE_Detalis[[#All],[Detalis]],"")</f>
        <v>Hard, but controlled</v>
      </c>
      <c r="J25" s="1">
        <f>Performance[[#This Row],[Reps]]*Performance[[#This Row],[Weight]]</f>
        <v>1767</v>
      </c>
      <c r="K25" s="1" t="str">
        <f>_xlfn.XLOOKUP(Performance[[#This Row],[Exercise_Name]],Exercises[Exercise_Name],Exercises[Exercise_ID],"Not found")</f>
        <v>EX-113</v>
      </c>
      <c r="L25" s="1">
        <f>YEAR(Performance[[#This Row],[Date]])</f>
        <v>2026</v>
      </c>
      <c r="M25" s="1" t="str">
        <f>_xlfn.XLOOKUP(MONTH(Performance[[#This Row],[Date]]),Mapping!$K$1:$K$12,Mapping!$L$1:$L$12)</f>
        <v>March</v>
      </c>
      <c r="N25" s="1" t="str">
        <f>_xlfn.XLOOKUP(WEEKDAY(Performance[[#This Row],[Date]]),Mapping!$N$1:$N$7,Mapping!$O$1:$O$7,)</f>
        <v>Thursday</v>
      </c>
    </row>
    <row r="26" spans="1:14" x14ac:dyDescent="0.25">
      <c r="A26" s="1">
        <v>2</v>
      </c>
      <c r="B26" s="2">
        <f>_xlfn.XLOOKUP(Performance[[#This Row],[Session_ID]],Sessions[Session_ID],Sessions[Date],"Not found")</f>
        <v>46085</v>
      </c>
      <c r="C26" s="1" t="s">
        <v>99</v>
      </c>
      <c r="D26" s="1">
        <v>2</v>
      </c>
      <c r="E26" s="1">
        <v>12</v>
      </c>
      <c r="F26" s="1">
        <v>15</v>
      </c>
      <c r="G26" s="1">
        <v>5</v>
      </c>
      <c r="H26" s="1">
        <f>IF(Performance[[#This Row],[RIR]]="","",10-Performance[[#This Row],[RIR]])</f>
        <v>5</v>
      </c>
      <c r="I26" s="1" t="str" cm="1">
        <f t="array" ref="I26">_xlfn.XLOOKUP(Performance[[#This Row],[RPE]],RPE_Detalis[[#All],[RPE]],RPE_Detalis[[#All],[Detalis]],"")</f>
        <v>Warm-up / technic</v>
      </c>
      <c r="J26" s="1">
        <f>Performance[[#This Row],[Reps]]*Performance[[#This Row],[Weight]]</f>
        <v>180</v>
      </c>
      <c r="K26" s="1" t="str">
        <f>_xlfn.XLOOKUP(Performance[[#This Row],[Exercise_Name]],Exercises[Exercise_Name],Exercises[Exercise_ID],"Not found")</f>
        <v>EX-061</v>
      </c>
      <c r="L26" s="1">
        <f>YEAR(Performance[[#This Row],[Date]])</f>
        <v>2026</v>
      </c>
      <c r="M26" s="1" t="str">
        <f>_xlfn.XLOOKUP(MONTH(Performance[[#This Row],[Date]]),Mapping!$K$1:$K$12,Mapping!$L$1:$L$12)</f>
        <v>March</v>
      </c>
      <c r="N26" s="1" t="str">
        <f>_xlfn.XLOOKUP(WEEKDAY(Performance[[#This Row],[Date]]),Mapping!$N$1:$N$7,Mapping!$O$1:$O$7,)</f>
        <v>Thursday</v>
      </c>
    </row>
    <row r="27" spans="1:14" x14ac:dyDescent="0.25">
      <c r="A27" s="1">
        <v>2</v>
      </c>
      <c r="B27" s="2">
        <f>_xlfn.XLOOKUP(Performance[[#This Row],[Session_ID]],Sessions[Session_ID],Sessions[Date],"Not found")</f>
        <v>46085</v>
      </c>
      <c r="C27" s="1" t="s">
        <v>99</v>
      </c>
      <c r="D27" s="1">
        <v>4</v>
      </c>
      <c r="E27" s="1">
        <v>13</v>
      </c>
      <c r="F27" s="1">
        <v>63</v>
      </c>
      <c r="G27" s="1">
        <v>2</v>
      </c>
      <c r="H27" s="1">
        <f>IF(Performance[[#This Row],[RIR]]="","",10-Performance[[#This Row],[RIR]])</f>
        <v>8</v>
      </c>
      <c r="I27" s="1" t="str" cm="1">
        <f t="array" ref="I27">_xlfn.XLOOKUP(Performance[[#This Row],[RPE]],RPE_Detalis[[#All],[RPE]],RPE_Detalis[[#All],[Detalis]],"")</f>
        <v>Hard</v>
      </c>
      <c r="J27" s="1">
        <f>Performance[[#This Row],[Reps]]*Performance[[#This Row],[Weight]]</f>
        <v>819</v>
      </c>
      <c r="K27" s="1" t="str">
        <f>_xlfn.XLOOKUP(Performance[[#This Row],[Exercise_Name]],Exercises[Exercise_Name],Exercises[Exercise_ID],"Not found")</f>
        <v>EX-061</v>
      </c>
      <c r="L27" s="1">
        <f>YEAR(Performance[[#This Row],[Date]])</f>
        <v>2026</v>
      </c>
      <c r="M27" s="1" t="str">
        <f>_xlfn.XLOOKUP(MONTH(Performance[[#This Row],[Date]]),Mapping!$K$1:$K$12,Mapping!$L$1:$L$12)</f>
        <v>March</v>
      </c>
      <c r="N27" s="1" t="str">
        <f>_xlfn.XLOOKUP(WEEKDAY(Performance[[#This Row],[Date]]),Mapping!$N$1:$N$7,Mapping!$O$1:$O$7,)</f>
        <v>Thursday</v>
      </c>
    </row>
    <row r="28" spans="1:14" x14ac:dyDescent="0.25">
      <c r="A28" s="1">
        <v>2</v>
      </c>
      <c r="B28" s="2">
        <f>_xlfn.XLOOKUP(Performance[[#This Row],[Session_ID]],Sessions[Session_ID],Sessions[Date],"Not found")</f>
        <v>46085</v>
      </c>
      <c r="C28" s="1" t="s">
        <v>99</v>
      </c>
      <c r="D28" s="1">
        <v>5</v>
      </c>
      <c r="E28" s="1">
        <v>19</v>
      </c>
      <c r="F28" s="1">
        <v>41</v>
      </c>
      <c r="G28" s="1">
        <v>2</v>
      </c>
      <c r="H28" s="1">
        <f>IF(Performance[[#This Row],[RIR]]="","",10-Performance[[#This Row],[RIR]])</f>
        <v>8</v>
      </c>
      <c r="I28" s="1" t="str" cm="1">
        <f t="array" ref="I28">_xlfn.XLOOKUP(Performance[[#This Row],[RPE]],RPE_Detalis[[#All],[RPE]],RPE_Detalis[[#All],[Detalis]],"")</f>
        <v>Hard</v>
      </c>
      <c r="J28" s="1">
        <f>Performance[[#This Row],[Reps]]*Performance[[#This Row],[Weight]]</f>
        <v>779</v>
      </c>
      <c r="K28" s="1" t="str">
        <f>_xlfn.XLOOKUP(Performance[[#This Row],[Exercise_Name]],Exercises[Exercise_Name],Exercises[Exercise_ID],"Not found")</f>
        <v>EX-061</v>
      </c>
      <c r="L28" s="1">
        <f>YEAR(Performance[[#This Row],[Date]])</f>
        <v>2026</v>
      </c>
      <c r="M28" s="1" t="str">
        <f>_xlfn.XLOOKUP(MONTH(Performance[[#This Row],[Date]]),Mapping!$K$1:$K$12,Mapping!$L$1:$L$12)</f>
        <v>March</v>
      </c>
      <c r="N28" s="1" t="str">
        <f>_xlfn.XLOOKUP(WEEKDAY(Performance[[#This Row],[Date]]),Mapping!$N$1:$N$7,Mapping!$O$1:$O$7,)</f>
        <v>Thursday</v>
      </c>
    </row>
    <row r="29" spans="1:14" x14ac:dyDescent="0.25">
      <c r="A29" s="1">
        <v>2</v>
      </c>
      <c r="B29" s="2">
        <f>_xlfn.XLOOKUP(Performance[[#This Row],[Session_ID]],Sessions[Session_ID],Sessions[Date],"Not found")</f>
        <v>46085</v>
      </c>
      <c r="C29" s="1" t="s">
        <v>99</v>
      </c>
      <c r="D29" s="1">
        <v>4</v>
      </c>
      <c r="E29" s="1">
        <v>18</v>
      </c>
      <c r="F29" s="1">
        <v>79</v>
      </c>
      <c r="G29" s="1">
        <v>2</v>
      </c>
      <c r="H29" s="1">
        <f>IF(Performance[[#This Row],[RIR]]="","",10-Performance[[#This Row],[RIR]])</f>
        <v>8</v>
      </c>
      <c r="I29" s="1" t="str" cm="1">
        <f t="array" ref="I29">_xlfn.XLOOKUP(Performance[[#This Row],[RPE]],RPE_Detalis[[#All],[RPE]],RPE_Detalis[[#All],[Detalis]],"")</f>
        <v>Hard</v>
      </c>
      <c r="J29" s="1">
        <f>Performance[[#This Row],[Reps]]*Performance[[#This Row],[Weight]]</f>
        <v>1422</v>
      </c>
      <c r="K29" s="1" t="str">
        <f>_xlfn.XLOOKUP(Performance[[#This Row],[Exercise_Name]],Exercises[Exercise_Name],Exercises[Exercise_ID],"Not found")</f>
        <v>EX-061</v>
      </c>
      <c r="L29" s="1">
        <f>YEAR(Performance[[#This Row],[Date]])</f>
        <v>2026</v>
      </c>
      <c r="M29" s="1" t="str">
        <f>_xlfn.XLOOKUP(MONTH(Performance[[#This Row],[Date]]),Mapping!$K$1:$K$12,Mapping!$L$1:$L$12)</f>
        <v>March</v>
      </c>
      <c r="N29" s="1" t="str">
        <f>_xlfn.XLOOKUP(WEEKDAY(Performance[[#This Row],[Date]]),Mapping!$N$1:$N$7,Mapping!$O$1:$O$7,)</f>
        <v>Thursday</v>
      </c>
    </row>
    <row r="30" spans="1:14" x14ac:dyDescent="0.25">
      <c r="A30" s="1">
        <v>2</v>
      </c>
      <c r="B30" s="2">
        <f>_xlfn.XLOOKUP(Performance[[#This Row],[Session_ID]],Sessions[Session_ID],Sessions[Date],"Not found")</f>
        <v>46085</v>
      </c>
      <c r="C30" s="1" t="s">
        <v>162</v>
      </c>
      <c r="D30" s="1">
        <v>2</v>
      </c>
      <c r="E30" s="1">
        <v>12</v>
      </c>
      <c r="F30" s="1">
        <v>2</v>
      </c>
      <c r="G30" s="1">
        <v>3</v>
      </c>
      <c r="H30" s="1">
        <f>IF(Performance[[#This Row],[RIR]]="","",10-Performance[[#This Row],[RIR]])</f>
        <v>7</v>
      </c>
      <c r="I30" s="1" t="str" cm="1">
        <f t="array" ref="I30">_xlfn.XLOOKUP(Performance[[#This Row],[RPE]],RPE_Detalis[[#All],[RPE]],RPE_Detalis[[#All],[Detalis]],"")</f>
        <v>Hard, but controlled</v>
      </c>
      <c r="J30" s="1">
        <f>Performance[[#This Row],[Reps]]*Performance[[#This Row],[Weight]]</f>
        <v>24</v>
      </c>
      <c r="K30" s="1" t="str">
        <f>_xlfn.XLOOKUP(Performance[[#This Row],[Exercise_Name]],Exercises[Exercise_Name],Exercises[Exercise_ID],"Not found")</f>
        <v>EX-115</v>
      </c>
      <c r="L30" s="1">
        <f>YEAR(Performance[[#This Row],[Date]])</f>
        <v>2026</v>
      </c>
      <c r="M30" s="1" t="str">
        <f>_xlfn.XLOOKUP(MONTH(Performance[[#This Row],[Date]]),Mapping!$K$1:$K$12,Mapping!$L$1:$L$12)</f>
        <v>March</v>
      </c>
      <c r="N30" s="1" t="str">
        <f>_xlfn.XLOOKUP(WEEKDAY(Performance[[#This Row],[Date]]),Mapping!$N$1:$N$7,Mapping!$O$1:$O$7,)</f>
        <v>Thursday</v>
      </c>
    </row>
    <row r="31" spans="1:14" x14ac:dyDescent="0.25">
      <c r="A31" s="1">
        <v>2</v>
      </c>
      <c r="B31" s="2">
        <f>_xlfn.XLOOKUP(Performance[[#This Row],[Session_ID]],Sessions[Session_ID],Sessions[Date],"Not found")</f>
        <v>46085</v>
      </c>
      <c r="C31" s="1" t="s">
        <v>162</v>
      </c>
      <c r="D31" s="1">
        <v>3</v>
      </c>
      <c r="E31" s="1">
        <v>20</v>
      </c>
      <c r="F31" s="1">
        <v>82</v>
      </c>
      <c r="G31" s="1">
        <v>3</v>
      </c>
      <c r="H31" s="1">
        <f>IF(Performance[[#This Row],[RIR]]="","",10-Performance[[#This Row],[RIR]])</f>
        <v>7</v>
      </c>
      <c r="I31" s="1" t="str" cm="1">
        <f t="array" ref="I31">_xlfn.XLOOKUP(Performance[[#This Row],[RPE]],RPE_Detalis[[#All],[RPE]],RPE_Detalis[[#All],[Detalis]],"")</f>
        <v>Hard, but controlled</v>
      </c>
      <c r="J31" s="1">
        <f>Performance[[#This Row],[Reps]]*Performance[[#This Row],[Weight]]</f>
        <v>1640</v>
      </c>
      <c r="K31" s="1" t="str">
        <f>_xlfn.XLOOKUP(Performance[[#This Row],[Exercise_Name]],Exercises[Exercise_Name],Exercises[Exercise_ID],"Not found")</f>
        <v>EX-115</v>
      </c>
      <c r="L31" s="1">
        <f>YEAR(Performance[[#This Row],[Date]])</f>
        <v>2026</v>
      </c>
      <c r="M31" s="1" t="str">
        <f>_xlfn.XLOOKUP(MONTH(Performance[[#This Row],[Date]]),Mapping!$K$1:$K$12,Mapping!$L$1:$L$12)</f>
        <v>March</v>
      </c>
      <c r="N31" s="1" t="str">
        <f>_xlfn.XLOOKUP(WEEKDAY(Performance[[#This Row],[Date]]),Mapping!$N$1:$N$7,Mapping!$O$1:$O$7,)</f>
        <v>Thursday</v>
      </c>
    </row>
    <row r="32" spans="1:14" x14ac:dyDescent="0.25">
      <c r="A32" s="1">
        <v>2</v>
      </c>
      <c r="B32" s="2">
        <f>_xlfn.XLOOKUP(Performance[[#This Row],[Session_ID]],Sessions[Session_ID],Sessions[Date],"Not found")</f>
        <v>46085</v>
      </c>
      <c r="C32" s="1" t="s">
        <v>162</v>
      </c>
      <c r="D32" s="1">
        <v>3</v>
      </c>
      <c r="E32" s="1">
        <v>20</v>
      </c>
      <c r="F32" s="1">
        <v>54</v>
      </c>
      <c r="G32" s="1">
        <v>2</v>
      </c>
      <c r="H32" s="1">
        <f>IF(Performance[[#This Row],[RIR]]="","",10-Performance[[#This Row],[RIR]])</f>
        <v>8</v>
      </c>
      <c r="I32" s="1" t="str" cm="1">
        <f t="array" ref="I32">_xlfn.XLOOKUP(Performance[[#This Row],[RPE]],RPE_Detalis[[#All],[RPE]],RPE_Detalis[[#All],[Detalis]],"")</f>
        <v>Hard</v>
      </c>
      <c r="J32" s="1">
        <f>Performance[[#This Row],[Reps]]*Performance[[#This Row],[Weight]]</f>
        <v>1080</v>
      </c>
      <c r="K32" s="1" t="str">
        <f>_xlfn.XLOOKUP(Performance[[#This Row],[Exercise_Name]],Exercises[Exercise_Name],Exercises[Exercise_ID],"Not found")</f>
        <v>EX-115</v>
      </c>
      <c r="L32" s="1">
        <f>YEAR(Performance[[#This Row],[Date]])</f>
        <v>2026</v>
      </c>
      <c r="M32" s="1" t="str">
        <f>_xlfn.XLOOKUP(MONTH(Performance[[#This Row],[Date]]),Mapping!$K$1:$K$12,Mapping!$L$1:$L$12)</f>
        <v>March</v>
      </c>
      <c r="N32" s="1" t="str">
        <f>_xlfn.XLOOKUP(WEEKDAY(Performance[[#This Row],[Date]]),Mapping!$N$1:$N$7,Mapping!$O$1:$O$7,)</f>
        <v>Thursday</v>
      </c>
    </row>
    <row r="33" spans="1:14" x14ac:dyDescent="0.25">
      <c r="A33" s="1">
        <v>2</v>
      </c>
      <c r="B33" s="2">
        <f>_xlfn.XLOOKUP(Performance[[#This Row],[Session_ID]],Sessions[Session_ID],Sessions[Date],"Not found")</f>
        <v>46085</v>
      </c>
      <c r="C33" s="1" t="s">
        <v>158</v>
      </c>
      <c r="D33" s="1">
        <v>5</v>
      </c>
      <c r="E33" s="1">
        <v>14</v>
      </c>
      <c r="F33" s="1">
        <v>74</v>
      </c>
      <c r="G33" s="1">
        <v>1</v>
      </c>
      <c r="H33" s="1">
        <f>IF(Performance[[#This Row],[RIR]]="","",10-Performance[[#This Row],[RIR]])</f>
        <v>9</v>
      </c>
      <c r="I33" s="1" t="str" cm="1">
        <f t="array" ref="I33">_xlfn.XLOOKUP(Performance[[#This Row],[RPE]],RPE_Detalis[[#All],[RPE]],RPE_Detalis[[#All],[Detalis]],"")</f>
        <v>Very hard, almost max</v>
      </c>
      <c r="J33" s="1">
        <f>Performance[[#This Row],[Reps]]*Performance[[#This Row],[Weight]]</f>
        <v>1036</v>
      </c>
      <c r="K33" s="1" t="str">
        <f>_xlfn.XLOOKUP(Performance[[#This Row],[Exercise_Name]],Exercises[Exercise_Name],Exercises[Exercise_ID],"Not found")</f>
        <v>EX-111</v>
      </c>
      <c r="L33" s="1">
        <f>YEAR(Performance[[#This Row],[Date]])</f>
        <v>2026</v>
      </c>
      <c r="M33" s="1" t="str">
        <f>_xlfn.XLOOKUP(MONTH(Performance[[#This Row],[Date]]),Mapping!$K$1:$K$12,Mapping!$L$1:$L$12)</f>
        <v>March</v>
      </c>
      <c r="N33" s="1" t="str">
        <f>_xlfn.XLOOKUP(WEEKDAY(Performance[[#This Row],[Date]]),Mapping!$N$1:$N$7,Mapping!$O$1:$O$7,)</f>
        <v>Thursday</v>
      </c>
    </row>
    <row r="34" spans="1:14" x14ac:dyDescent="0.25">
      <c r="A34" s="1">
        <v>2</v>
      </c>
      <c r="B34" s="2">
        <f>_xlfn.XLOOKUP(Performance[[#This Row],[Session_ID]],Sessions[Session_ID],Sessions[Date],"Not found")</f>
        <v>46085</v>
      </c>
      <c r="C34" s="1" t="s">
        <v>158</v>
      </c>
      <c r="D34" s="1">
        <v>2</v>
      </c>
      <c r="E34" s="1">
        <v>12</v>
      </c>
      <c r="F34" s="1">
        <v>76</v>
      </c>
      <c r="G34" s="1">
        <v>1</v>
      </c>
      <c r="H34" s="1">
        <f>IF(Performance[[#This Row],[RIR]]="","",10-Performance[[#This Row],[RIR]])</f>
        <v>9</v>
      </c>
      <c r="I34" s="1" t="str" cm="1">
        <f t="array" ref="I34">_xlfn.XLOOKUP(Performance[[#This Row],[RPE]],RPE_Detalis[[#All],[RPE]],RPE_Detalis[[#All],[Detalis]],"")</f>
        <v>Very hard, almost max</v>
      </c>
      <c r="J34" s="1">
        <f>Performance[[#This Row],[Reps]]*Performance[[#This Row],[Weight]]</f>
        <v>912</v>
      </c>
      <c r="K34" s="1" t="str">
        <f>_xlfn.XLOOKUP(Performance[[#This Row],[Exercise_Name]],Exercises[Exercise_Name],Exercises[Exercise_ID],"Not found")</f>
        <v>EX-111</v>
      </c>
      <c r="L34" s="1">
        <f>YEAR(Performance[[#This Row],[Date]])</f>
        <v>2026</v>
      </c>
      <c r="M34" s="1" t="str">
        <f>_xlfn.XLOOKUP(MONTH(Performance[[#This Row],[Date]]),Mapping!$K$1:$K$12,Mapping!$L$1:$L$12)</f>
        <v>March</v>
      </c>
      <c r="N34" s="1" t="str">
        <f>_xlfn.XLOOKUP(WEEKDAY(Performance[[#This Row],[Date]]),Mapping!$N$1:$N$7,Mapping!$O$1:$O$7,)</f>
        <v>Thursday</v>
      </c>
    </row>
    <row r="35" spans="1:14" x14ac:dyDescent="0.25">
      <c r="A35" s="1">
        <v>2</v>
      </c>
      <c r="B35" s="2">
        <f>_xlfn.XLOOKUP(Performance[[#This Row],[Session_ID]],Sessions[Session_ID],Sessions[Date],"Not found")</f>
        <v>46085</v>
      </c>
      <c r="C35" s="1" t="s">
        <v>158</v>
      </c>
      <c r="D35" s="1">
        <v>5</v>
      </c>
      <c r="E35" s="1">
        <v>18</v>
      </c>
      <c r="F35" s="1">
        <v>97</v>
      </c>
      <c r="G35" s="1">
        <v>1</v>
      </c>
      <c r="H35" s="1">
        <f>IF(Performance[[#This Row],[RIR]]="","",10-Performance[[#This Row],[RIR]])</f>
        <v>9</v>
      </c>
      <c r="I35" s="1" t="str" cm="1">
        <f t="array" ref="I35">_xlfn.XLOOKUP(Performance[[#This Row],[RPE]],RPE_Detalis[[#All],[RPE]],RPE_Detalis[[#All],[Detalis]],"")</f>
        <v>Very hard, almost max</v>
      </c>
      <c r="J35" s="1">
        <f>Performance[[#This Row],[Reps]]*Performance[[#This Row],[Weight]]</f>
        <v>1746</v>
      </c>
      <c r="K35" s="1" t="str">
        <f>_xlfn.XLOOKUP(Performance[[#This Row],[Exercise_Name]],Exercises[Exercise_Name],Exercises[Exercise_ID],"Not found")</f>
        <v>EX-111</v>
      </c>
      <c r="L35" s="1">
        <f>YEAR(Performance[[#This Row],[Date]])</f>
        <v>2026</v>
      </c>
      <c r="M35" s="1" t="str">
        <f>_xlfn.XLOOKUP(MONTH(Performance[[#This Row],[Date]]),Mapping!$K$1:$K$12,Mapping!$L$1:$L$12)</f>
        <v>March</v>
      </c>
      <c r="N35" s="1" t="str">
        <f>_xlfn.XLOOKUP(WEEKDAY(Performance[[#This Row],[Date]]),Mapping!$N$1:$N$7,Mapping!$O$1:$O$7,)</f>
        <v>Thursday</v>
      </c>
    </row>
    <row r="36" spans="1:14" x14ac:dyDescent="0.25">
      <c r="A36" s="1">
        <v>2</v>
      </c>
      <c r="B36" s="2">
        <f>_xlfn.XLOOKUP(Performance[[#This Row],[Session_ID]],Sessions[Session_ID],Sessions[Date],"Not found")</f>
        <v>46085</v>
      </c>
      <c r="C36" s="1" t="s">
        <v>172</v>
      </c>
      <c r="D36" s="1">
        <v>3</v>
      </c>
      <c r="E36" s="1">
        <v>17</v>
      </c>
      <c r="F36" s="1">
        <v>65</v>
      </c>
      <c r="G36" s="1">
        <v>2</v>
      </c>
      <c r="H36" s="1">
        <f>IF(Performance[[#This Row],[RIR]]="","",10-Performance[[#This Row],[RIR]])</f>
        <v>8</v>
      </c>
      <c r="I36" s="1" t="str" cm="1">
        <f t="array" ref="I36">_xlfn.XLOOKUP(Performance[[#This Row],[RPE]],RPE_Detalis[[#All],[RPE]],RPE_Detalis[[#All],[Detalis]],"")</f>
        <v>Hard</v>
      </c>
      <c r="J36" s="1">
        <f>Performance[[#This Row],[Reps]]*Performance[[#This Row],[Weight]]</f>
        <v>1105</v>
      </c>
      <c r="K36" s="1" t="str">
        <f>_xlfn.XLOOKUP(Performance[[#This Row],[Exercise_Name]],Exercises[Exercise_Name],Exercises[Exercise_ID],"Not found")</f>
        <v>Not found</v>
      </c>
      <c r="L36" s="1">
        <f>YEAR(Performance[[#This Row],[Date]])</f>
        <v>2026</v>
      </c>
      <c r="M36" s="1" t="str">
        <f>_xlfn.XLOOKUP(MONTH(Performance[[#This Row],[Date]]),Mapping!$K$1:$K$12,Mapping!$L$1:$L$12)</f>
        <v>March</v>
      </c>
      <c r="N36" s="1" t="str">
        <f>_xlfn.XLOOKUP(WEEKDAY(Performance[[#This Row],[Date]]),Mapping!$N$1:$N$7,Mapping!$O$1:$O$7,)</f>
        <v>Thursday</v>
      </c>
    </row>
    <row r="37" spans="1:14" x14ac:dyDescent="0.25">
      <c r="A37" s="1">
        <v>2</v>
      </c>
      <c r="B37" s="2">
        <f>_xlfn.XLOOKUP(Performance[[#This Row],[Session_ID]],Sessions[Session_ID],Sessions[Date],"Not found")</f>
        <v>46085</v>
      </c>
      <c r="C37" s="1" t="s">
        <v>172</v>
      </c>
      <c r="D37" s="1">
        <v>3</v>
      </c>
      <c r="E37" s="1">
        <v>16</v>
      </c>
      <c r="F37" s="1">
        <v>34</v>
      </c>
      <c r="G37" s="1">
        <v>1</v>
      </c>
      <c r="H37" s="1">
        <f>IF(Performance[[#This Row],[RIR]]="","",10-Performance[[#This Row],[RIR]])</f>
        <v>9</v>
      </c>
      <c r="I37" s="1" t="str" cm="1">
        <f t="array" ref="I37">_xlfn.XLOOKUP(Performance[[#This Row],[RPE]],RPE_Detalis[[#All],[RPE]],RPE_Detalis[[#All],[Detalis]],"")</f>
        <v>Very hard, almost max</v>
      </c>
      <c r="J37" s="1">
        <f>Performance[[#This Row],[Reps]]*Performance[[#This Row],[Weight]]</f>
        <v>544</v>
      </c>
      <c r="K37" s="1" t="str">
        <f>_xlfn.XLOOKUP(Performance[[#This Row],[Exercise_Name]],Exercises[Exercise_Name],Exercises[Exercise_ID],"Not found")</f>
        <v>Not found</v>
      </c>
      <c r="L37" s="1">
        <f>YEAR(Performance[[#This Row],[Date]])</f>
        <v>2026</v>
      </c>
      <c r="M37" s="1" t="str">
        <f>_xlfn.XLOOKUP(MONTH(Performance[[#This Row],[Date]]),Mapping!$K$1:$K$12,Mapping!$L$1:$L$12)</f>
        <v>March</v>
      </c>
      <c r="N37" s="1" t="str">
        <f>_xlfn.XLOOKUP(WEEKDAY(Performance[[#This Row],[Date]]),Mapping!$N$1:$N$7,Mapping!$O$1:$O$7,)</f>
        <v>Thursday</v>
      </c>
    </row>
    <row r="38" spans="1:14" x14ac:dyDescent="0.25">
      <c r="A38" s="1">
        <v>2</v>
      </c>
      <c r="B38" s="2">
        <f>_xlfn.XLOOKUP(Performance[[#This Row],[Session_ID]],Sessions[Session_ID],Sessions[Date],"Not found")</f>
        <v>46085</v>
      </c>
      <c r="C38" s="1" t="s">
        <v>172</v>
      </c>
      <c r="D38" s="1">
        <v>1</v>
      </c>
      <c r="E38" s="1">
        <v>9</v>
      </c>
      <c r="F38" s="1">
        <v>55</v>
      </c>
      <c r="G38" s="1">
        <v>1</v>
      </c>
      <c r="H38" s="1">
        <f>IF(Performance[[#This Row],[RIR]]="","",10-Performance[[#This Row],[RIR]])</f>
        <v>9</v>
      </c>
      <c r="I38" s="1" t="str" cm="1">
        <f t="array" ref="I38">_xlfn.XLOOKUP(Performance[[#This Row],[RPE]],RPE_Detalis[[#All],[RPE]],RPE_Detalis[[#All],[Detalis]],"")</f>
        <v>Very hard, almost max</v>
      </c>
      <c r="J38" s="1">
        <f>Performance[[#This Row],[Reps]]*Performance[[#This Row],[Weight]]</f>
        <v>495</v>
      </c>
      <c r="K38" s="1" t="str">
        <f>_xlfn.XLOOKUP(Performance[[#This Row],[Exercise_Name]],Exercises[Exercise_Name],Exercises[Exercise_ID],"Not found")</f>
        <v>Not found</v>
      </c>
      <c r="L38" s="1">
        <f>YEAR(Performance[[#This Row],[Date]])</f>
        <v>2026</v>
      </c>
      <c r="M38" s="1" t="str">
        <f>_xlfn.XLOOKUP(MONTH(Performance[[#This Row],[Date]]),Mapping!$K$1:$K$12,Mapping!$L$1:$L$12)</f>
        <v>March</v>
      </c>
      <c r="N38" s="1" t="str">
        <f>_xlfn.XLOOKUP(WEEKDAY(Performance[[#This Row],[Date]]),Mapping!$N$1:$N$7,Mapping!$O$1:$O$7,)</f>
        <v>Thursday</v>
      </c>
    </row>
    <row r="39" spans="1:14" x14ac:dyDescent="0.25">
      <c r="A39" s="1">
        <v>2</v>
      </c>
      <c r="B39" s="2">
        <f>_xlfn.XLOOKUP(Performance[[#This Row],[Session_ID]],Sessions[Session_ID],Sessions[Date],"Not found")</f>
        <v>46085</v>
      </c>
      <c r="C39" s="1" t="s">
        <v>38</v>
      </c>
      <c r="D39" s="1">
        <v>1</v>
      </c>
      <c r="E39" s="1">
        <v>15</v>
      </c>
      <c r="F39" s="1">
        <v>88</v>
      </c>
      <c r="G39" s="1">
        <v>3</v>
      </c>
      <c r="H39" s="1">
        <f>IF(Performance[[#This Row],[RIR]]="","",10-Performance[[#This Row],[RIR]])</f>
        <v>7</v>
      </c>
      <c r="I39" s="1" t="str" cm="1">
        <f t="array" ref="I39">_xlfn.XLOOKUP(Performance[[#This Row],[RPE]],RPE_Detalis[[#All],[RPE]],RPE_Detalis[[#All],[Detalis]],"")</f>
        <v>Hard, but controlled</v>
      </c>
      <c r="J39" s="1">
        <f>Performance[[#This Row],[Reps]]*Performance[[#This Row],[Weight]]</f>
        <v>1320</v>
      </c>
      <c r="K39" s="1" t="str">
        <f>_xlfn.XLOOKUP(Performance[[#This Row],[Exercise_Name]],Exercises[Exercise_Name],Exercises[Exercise_ID],"Not found")</f>
        <v>EX-007</v>
      </c>
      <c r="L39" s="1">
        <f>YEAR(Performance[[#This Row],[Date]])</f>
        <v>2026</v>
      </c>
      <c r="M39" s="1" t="str">
        <f>_xlfn.XLOOKUP(MONTH(Performance[[#This Row],[Date]]),Mapping!$K$1:$K$12,Mapping!$L$1:$L$12)</f>
        <v>March</v>
      </c>
      <c r="N39" s="1" t="str">
        <f>_xlfn.XLOOKUP(WEEKDAY(Performance[[#This Row],[Date]]),Mapping!$N$1:$N$7,Mapping!$O$1:$O$7,)</f>
        <v>Thursday</v>
      </c>
    </row>
    <row r="40" spans="1:14" x14ac:dyDescent="0.25">
      <c r="A40" s="1">
        <v>2</v>
      </c>
      <c r="B40" s="2">
        <f>_xlfn.XLOOKUP(Performance[[#This Row],[Session_ID]],Sessions[Session_ID],Sessions[Date],"Not found")</f>
        <v>46085</v>
      </c>
      <c r="C40" s="1" t="s">
        <v>38</v>
      </c>
      <c r="D40" s="1">
        <v>4</v>
      </c>
      <c r="E40" s="1">
        <v>18</v>
      </c>
      <c r="F40" s="1">
        <v>20</v>
      </c>
      <c r="G40" s="1">
        <v>2</v>
      </c>
      <c r="H40" s="1">
        <f>IF(Performance[[#This Row],[RIR]]="","",10-Performance[[#This Row],[RIR]])</f>
        <v>8</v>
      </c>
      <c r="I40" s="1" t="str" cm="1">
        <f t="array" ref="I40">_xlfn.XLOOKUP(Performance[[#This Row],[RPE]],RPE_Detalis[[#All],[RPE]],RPE_Detalis[[#All],[Detalis]],"")</f>
        <v>Hard</v>
      </c>
      <c r="J40" s="1">
        <f>Performance[[#This Row],[Reps]]*Performance[[#This Row],[Weight]]</f>
        <v>360</v>
      </c>
      <c r="K40" s="1" t="str">
        <f>_xlfn.XLOOKUP(Performance[[#This Row],[Exercise_Name]],Exercises[Exercise_Name],Exercises[Exercise_ID],"Not found")</f>
        <v>EX-007</v>
      </c>
      <c r="L40" s="1">
        <f>YEAR(Performance[[#This Row],[Date]])</f>
        <v>2026</v>
      </c>
      <c r="M40" s="1" t="str">
        <f>_xlfn.XLOOKUP(MONTH(Performance[[#This Row],[Date]]),Mapping!$K$1:$K$12,Mapping!$L$1:$L$12)</f>
        <v>March</v>
      </c>
      <c r="N40" s="1" t="str">
        <f>_xlfn.XLOOKUP(WEEKDAY(Performance[[#This Row],[Date]]),Mapping!$N$1:$N$7,Mapping!$O$1:$O$7,)</f>
        <v>Thursday</v>
      </c>
    </row>
    <row r="41" spans="1:14" x14ac:dyDescent="0.25">
      <c r="A41" s="1">
        <v>2</v>
      </c>
      <c r="B41" s="2">
        <f>_xlfn.XLOOKUP(Performance[[#This Row],[Session_ID]],Sessions[Session_ID],Sessions[Date],"Not found")</f>
        <v>46085</v>
      </c>
      <c r="C41" s="1" t="s">
        <v>38</v>
      </c>
      <c r="D41" s="1">
        <v>4</v>
      </c>
      <c r="E41" s="1">
        <v>19</v>
      </c>
      <c r="F41" s="1">
        <v>19</v>
      </c>
      <c r="G41" s="1">
        <v>0</v>
      </c>
      <c r="H41" s="1">
        <f>IF(Performance[[#This Row],[RIR]]="","",10-Performance[[#This Row],[RIR]])</f>
        <v>10</v>
      </c>
      <c r="I41" s="1" t="str" cm="1">
        <f t="array" ref="I41">_xlfn.XLOOKUP(Performance[[#This Row],[RPE]],RPE_Detalis[[#All],[RPE]],RPE_Detalis[[#All],[Detalis]],"")</f>
        <v>MAX</v>
      </c>
      <c r="J41" s="1">
        <f>Performance[[#This Row],[Reps]]*Performance[[#This Row],[Weight]]</f>
        <v>361</v>
      </c>
      <c r="K41" s="1" t="str">
        <f>_xlfn.XLOOKUP(Performance[[#This Row],[Exercise_Name]],Exercises[Exercise_Name],Exercises[Exercise_ID],"Not found")</f>
        <v>EX-007</v>
      </c>
      <c r="L41" s="1">
        <f>YEAR(Performance[[#This Row],[Date]])</f>
        <v>2026</v>
      </c>
      <c r="M41" s="1" t="str">
        <f>_xlfn.XLOOKUP(MONTH(Performance[[#This Row],[Date]]),Mapping!$K$1:$K$12,Mapping!$L$1:$L$12)</f>
        <v>March</v>
      </c>
      <c r="N41" s="1" t="str">
        <f>_xlfn.XLOOKUP(WEEKDAY(Performance[[#This Row],[Date]]),Mapping!$N$1:$N$7,Mapping!$O$1:$O$7,)</f>
        <v>Thursday</v>
      </c>
    </row>
    <row r="42" spans="1:14" x14ac:dyDescent="0.25">
      <c r="A42" s="1">
        <v>3</v>
      </c>
      <c r="B42" s="2">
        <f>_xlfn.XLOOKUP(Performance[[#This Row],[Session_ID]],Sessions[Session_ID],Sessions[Date],"Not found")</f>
        <v>46117</v>
      </c>
      <c r="C42" s="1" t="s">
        <v>160</v>
      </c>
      <c r="D42" s="1">
        <v>2</v>
      </c>
      <c r="E42" s="1">
        <v>9</v>
      </c>
      <c r="F42" s="1">
        <v>55</v>
      </c>
      <c r="G42" s="1">
        <v>3</v>
      </c>
      <c r="H42" s="1">
        <f>IF(Performance[[#This Row],[RIR]]="","",10-Performance[[#This Row],[RIR]])</f>
        <v>7</v>
      </c>
      <c r="I42" s="1" t="str" cm="1">
        <f t="array" ref="I42">_xlfn.XLOOKUP(Performance[[#This Row],[RPE]],RPE_Detalis[[#All],[RPE]],RPE_Detalis[[#All],[Detalis]],"")</f>
        <v>Hard, but controlled</v>
      </c>
      <c r="J42" s="1">
        <f>Performance[[#This Row],[Reps]]*Performance[[#This Row],[Weight]]</f>
        <v>495</v>
      </c>
      <c r="K42" s="1" t="str">
        <f>_xlfn.XLOOKUP(Performance[[#This Row],[Exercise_Name]],Exercises[Exercise_Name],Exercises[Exercise_ID],"Not found")</f>
        <v>EX-113</v>
      </c>
      <c r="L42" s="1">
        <f>YEAR(Performance[[#This Row],[Date]])</f>
        <v>2026</v>
      </c>
      <c r="M42" s="1" t="str">
        <f>_xlfn.XLOOKUP(MONTH(Performance[[#This Row],[Date]]),Mapping!$K$1:$K$12,Mapping!$L$1:$L$12)</f>
        <v>April</v>
      </c>
      <c r="N42" s="1" t="str">
        <f>_xlfn.XLOOKUP(WEEKDAY(Performance[[#This Row],[Date]]),Mapping!$N$1:$N$7,Mapping!$O$1:$O$7,)</f>
        <v>Monday</v>
      </c>
    </row>
    <row r="43" spans="1:14" x14ac:dyDescent="0.25">
      <c r="A43" s="1">
        <v>3</v>
      </c>
      <c r="B43" s="2">
        <f>_xlfn.XLOOKUP(Performance[[#This Row],[Session_ID]],Sessions[Session_ID],Sessions[Date],"Not found")</f>
        <v>46117</v>
      </c>
      <c r="C43" s="1" t="s">
        <v>160</v>
      </c>
      <c r="D43" s="1">
        <v>3</v>
      </c>
      <c r="E43" s="1">
        <v>18</v>
      </c>
      <c r="F43" s="1">
        <v>79</v>
      </c>
      <c r="G43" s="1">
        <v>3</v>
      </c>
      <c r="H43" s="1">
        <f>IF(Performance[[#This Row],[RIR]]="","",10-Performance[[#This Row],[RIR]])</f>
        <v>7</v>
      </c>
      <c r="I43" s="1" t="str" cm="1">
        <f t="array" ref="I43">_xlfn.XLOOKUP(Performance[[#This Row],[RPE]],RPE_Detalis[[#All],[RPE]],RPE_Detalis[[#All],[Detalis]],"")</f>
        <v>Hard, but controlled</v>
      </c>
      <c r="J43" s="1">
        <f>Performance[[#This Row],[Reps]]*Performance[[#This Row],[Weight]]</f>
        <v>1422</v>
      </c>
      <c r="K43" s="1" t="str">
        <f>_xlfn.XLOOKUP(Performance[[#This Row],[Exercise_Name]],Exercises[Exercise_Name],Exercises[Exercise_ID],"Not found")</f>
        <v>EX-113</v>
      </c>
      <c r="L43" s="1">
        <f>YEAR(Performance[[#This Row],[Date]])</f>
        <v>2026</v>
      </c>
      <c r="M43" s="1" t="str">
        <f>_xlfn.XLOOKUP(MONTH(Performance[[#This Row],[Date]]),Mapping!$K$1:$K$12,Mapping!$L$1:$L$12)</f>
        <v>April</v>
      </c>
      <c r="N43" s="1" t="str">
        <f>_xlfn.XLOOKUP(WEEKDAY(Performance[[#This Row],[Date]]),Mapping!$N$1:$N$7,Mapping!$O$1:$O$7,)</f>
        <v>Monday</v>
      </c>
    </row>
    <row r="44" spans="1:14" x14ac:dyDescent="0.25">
      <c r="A44" s="1">
        <v>3</v>
      </c>
      <c r="B44" s="2">
        <f>_xlfn.XLOOKUP(Performance[[#This Row],[Session_ID]],Sessions[Session_ID],Sessions[Date],"Not found")</f>
        <v>46117</v>
      </c>
      <c r="C44" s="1" t="s">
        <v>160</v>
      </c>
      <c r="D44" s="1">
        <v>1</v>
      </c>
      <c r="E44" s="1">
        <v>16</v>
      </c>
      <c r="F44" s="1">
        <v>98</v>
      </c>
      <c r="G44" s="1">
        <v>3</v>
      </c>
      <c r="H44" s="1">
        <f>IF(Performance[[#This Row],[RIR]]="","",10-Performance[[#This Row],[RIR]])</f>
        <v>7</v>
      </c>
      <c r="I44" s="1" t="str" cm="1">
        <f t="array" ref="I44">_xlfn.XLOOKUP(Performance[[#This Row],[RPE]],RPE_Detalis[[#All],[RPE]],RPE_Detalis[[#All],[Detalis]],"")</f>
        <v>Hard, but controlled</v>
      </c>
      <c r="J44" s="1">
        <f>Performance[[#This Row],[Reps]]*Performance[[#This Row],[Weight]]</f>
        <v>1568</v>
      </c>
      <c r="K44" s="1" t="str">
        <f>_xlfn.XLOOKUP(Performance[[#This Row],[Exercise_Name]],Exercises[Exercise_Name],Exercises[Exercise_ID],"Not found")</f>
        <v>EX-113</v>
      </c>
      <c r="L44" s="1">
        <f>YEAR(Performance[[#This Row],[Date]])</f>
        <v>2026</v>
      </c>
      <c r="M44" s="1" t="str">
        <f>_xlfn.XLOOKUP(MONTH(Performance[[#This Row],[Date]]),Mapping!$K$1:$K$12,Mapping!$L$1:$L$12)</f>
        <v>April</v>
      </c>
      <c r="N44" s="1" t="str">
        <f>_xlfn.XLOOKUP(WEEKDAY(Performance[[#This Row],[Date]]),Mapping!$N$1:$N$7,Mapping!$O$1:$O$7,)</f>
        <v>Monday</v>
      </c>
    </row>
    <row r="45" spans="1:14" x14ac:dyDescent="0.25">
      <c r="A45" s="1">
        <v>3</v>
      </c>
      <c r="B45" s="2">
        <f>_xlfn.XLOOKUP(Performance[[#This Row],[Session_ID]],Sessions[Session_ID],Sessions[Date],"Not found")</f>
        <v>46117</v>
      </c>
      <c r="C45" s="1" t="s">
        <v>160</v>
      </c>
      <c r="D45" s="1">
        <v>1</v>
      </c>
      <c r="E45" s="1">
        <v>10</v>
      </c>
      <c r="F45" s="1">
        <v>10</v>
      </c>
      <c r="G45" s="1">
        <v>3</v>
      </c>
      <c r="H45" s="1">
        <f>IF(Performance[[#This Row],[RIR]]="","",10-Performance[[#This Row],[RIR]])</f>
        <v>7</v>
      </c>
      <c r="I45" s="1" t="str" cm="1">
        <f t="array" ref="I45">_xlfn.XLOOKUP(Performance[[#This Row],[RPE]],RPE_Detalis[[#All],[RPE]],RPE_Detalis[[#All],[Detalis]],"")</f>
        <v>Hard, but controlled</v>
      </c>
      <c r="J45" s="1">
        <f>Performance[[#This Row],[Reps]]*Performance[[#This Row],[Weight]]</f>
        <v>100</v>
      </c>
      <c r="K45" s="1" t="str">
        <f>_xlfn.XLOOKUP(Performance[[#This Row],[Exercise_Name]],Exercises[Exercise_Name],Exercises[Exercise_ID],"Not found")</f>
        <v>EX-113</v>
      </c>
      <c r="L45" s="1">
        <f>YEAR(Performance[[#This Row],[Date]])</f>
        <v>2026</v>
      </c>
      <c r="M45" s="1" t="str">
        <f>_xlfn.XLOOKUP(MONTH(Performance[[#This Row],[Date]]),Mapping!$K$1:$K$12,Mapping!$L$1:$L$12)</f>
        <v>April</v>
      </c>
      <c r="N45" s="1" t="str">
        <f>_xlfn.XLOOKUP(WEEKDAY(Performance[[#This Row],[Date]]),Mapping!$N$1:$N$7,Mapping!$O$1:$O$7,)</f>
        <v>Monday</v>
      </c>
    </row>
    <row r="46" spans="1:14" x14ac:dyDescent="0.25">
      <c r="A46" s="1">
        <v>3</v>
      </c>
      <c r="B46" s="2">
        <f>_xlfn.XLOOKUP(Performance[[#This Row],[Session_ID]],Sessions[Session_ID],Sessions[Date],"Not found")</f>
        <v>46117</v>
      </c>
      <c r="C46" s="1" t="s">
        <v>99</v>
      </c>
      <c r="D46" s="1">
        <v>3</v>
      </c>
      <c r="E46" s="1">
        <v>15</v>
      </c>
      <c r="F46" s="1">
        <v>87</v>
      </c>
      <c r="G46" s="1">
        <v>5</v>
      </c>
      <c r="H46" s="1">
        <f>IF(Performance[[#This Row],[RIR]]="","",10-Performance[[#This Row],[RIR]])</f>
        <v>5</v>
      </c>
      <c r="I46" s="1" t="str" cm="1">
        <f t="array" ref="I46">_xlfn.XLOOKUP(Performance[[#This Row],[RPE]],RPE_Detalis[[#All],[RPE]],RPE_Detalis[[#All],[Detalis]],"")</f>
        <v>Warm-up / technic</v>
      </c>
      <c r="J46" s="1">
        <f>Performance[[#This Row],[Reps]]*Performance[[#This Row],[Weight]]</f>
        <v>1305</v>
      </c>
      <c r="K46" s="1" t="str">
        <f>_xlfn.XLOOKUP(Performance[[#This Row],[Exercise_Name]],Exercises[Exercise_Name],Exercises[Exercise_ID],"Not found")</f>
        <v>EX-061</v>
      </c>
      <c r="L46" s="1">
        <f>YEAR(Performance[[#This Row],[Date]])</f>
        <v>2026</v>
      </c>
      <c r="M46" s="1" t="str">
        <f>_xlfn.XLOOKUP(MONTH(Performance[[#This Row],[Date]]),Mapping!$K$1:$K$12,Mapping!$L$1:$L$12)</f>
        <v>April</v>
      </c>
      <c r="N46" s="1" t="str">
        <f>_xlfn.XLOOKUP(WEEKDAY(Performance[[#This Row],[Date]]),Mapping!$N$1:$N$7,Mapping!$O$1:$O$7,)</f>
        <v>Monday</v>
      </c>
    </row>
    <row r="47" spans="1:14" x14ac:dyDescent="0.25">
      <c r="A47" s="1">
        <v>3</v>
      </c>
      <c r="B47" s="2">
        <f>_xlfn.XLOOKUP(Performance[[#This Row],[Session_ID]],Sessions[Session_ID],Sessions[Date],"Not found")</f>
        <v>46117</v>
      </c>
      <c r="C47" s="1" t="s">
        <v>99</v>
      </c>
      <c r="D47" s="1">
        <v>4</v>
      </c>
      <c r="E47" s="1">
        <v>10</v>
      </c>
      <c r="F47" s="1">
        <v>8</v>
      </c>
      <c r="G47" s="1">
        <v>2</v>
      </c>
      <c r="H47" s="1">
        <f>IF(Performance[[#This Row],[RIR]]="","",10-Performance[[#This Row],[RIR]])</f>
        <v>8</v>
      </c>
      <c r="I47" s="1" t="str" cm="1">
        <f t="array" ref="I47">_xlfn.XLOOKUP(Performance[[#This Row],[RPE]],RPE_Detalis[[#All],[RPE]],RPE_Detalis[[#All],[Detalis]],"")</f>
        <v>Hard</v>
      </c>
      <c r="J47" s="1">
        <f>Performance[[#This Row],[Reps]]*Performance[[#This Row],[Weight]]</f>
        <v>80</v>
      </c>
      <c r="K47" s="1" t="str">
        <f>_xlfn.XLOOKUP(Performance[[#This Row],[Exercise_Name]],Exercises[Exercise_Name],Exercises[Exercise_ID],"Not found")</f>
        <v>EX-061</v>
      </c>
      <c r="L47" s="1">
        <f>YEAR(Performance[[#This Row],[Date]])</f>
        <v>2026</v>
      </c>
      <c r="M47" s="1" t="str">
        <f>_xlfn.XLOOKUP(MONTH(Performance[[#This Row],[Date]]),Mapping!$K$1:$K$12,Mapping!$L$1:$L$12)</f>
        <v>April</v>
      </c>
      <c r="N47" s="1" t="str">
        <f>_xlfn.XLOOKUP(WEEKDAY(Performance[[#This Row],[Date]]),Mapping!$N$1:$N$7,Mapping!$O$1:$O$7,)</f>
        <v>Monday</v>
      </c>
    </row>
    <row r="48" spans="1:14" x14ac:dyDescent="0.25">
      <c r="A48" s="1">
        <v>3</v>
      </c>
      <c r="B48" s="2">
        <f>_xlfn.XLOOKUP(Performance[[#This Row],[Session_ID]],Sessions[Session_ID],Sessions[Date],"Not found")</f>
        <v>46117</v>
      </c>
      <c r="C48" s="1" t="s">
        <v>99</v>
      </c>
      <c r="D48" s="1">
        <v>5</v>
      </c>
      <c r="E48" s="1">
        <v>16</v>
      </c>
      <c r="F48" s="1">
        <v>100</v>
      </c>
      <c r="G48" s="1">
        <v>2</v>
      </c>
      <c r="H48" s="1">
        <f>IF(Performance[[#This Row],[RIR]]="","",10-Performance[[#This Row],[RIR]])</f>
        <v>8</v>
      </c>
      <c r="I48" s="1" t="str" cm="1">
        <f t="array" ref="I48">_xlfn.XLOOKUP(Performance[[#This Row],[RPE]],RPE_Detalis[[#All],[RPE]],RPE_Detalis[[#All],[Detalis]],"")</f>
        <v>Hard</v>
      </c>
      <c r="J48" s="1">
        <f>Performance[[#This Row],[Reps]]*Performance[[#This Row],[Weight]]</f>
        <v>1600</v>
      </c>
      <c r="K48" s="1" t="str">
        <f>_xlfn.XLOOKUP(Performance[[#This Row],[Exercise_Name]],Exercises[Exercise_Name],Exercises[Exercise_ID],"Not found")</f>
        <v>EX-061</v>
      </c>
      <c r="L48" s="1">
        <f>YEAR(Performance[[#This Row],[Date]])</f>
        <v>2026</v>
      </c>
      <c r="M48" s="1" t="str">
        <f>_xlfn.XLOOKUP(MONTH(Performance[[#This Row],[Date]]),Mapping!$K$1:$K$12,Mapping!$L$1:$L$12)</f>
        <v>April</v>
      </c>
      <c r="N48" s="1" t="str">
        <f>_xlfn.XLOOKUP(WEEKDAY(Performance[[#This Row],[Date]]),Mapping!$N$1:$N$7,Mapping!$O$1:$O$7,)</f>
        <v>Monday</v>
      </c>
    </row>
    <row r="49" spans="1:14" x14ac:dyDescent="0.25">
      <c r="A49" s="1">
        <v>3</v>
      </c>
      <c r="B49" s="2">
        <f>_xlfn.XLOOKUP(Performance[[#This Row],[Session_ID]],Sessions[Session_ID],Sessions[Date],"Not found")</f>
        <v>46117</v>
      </c>
      <c r="C49" s="1" t="s">
        <v>99</v>
      </c>
      <c r="D49" s="1">
        <v>4</v>
      </c>
      <c r="E49" s="1">
        <v>8</v>
      </c>
      <c r="F49" s="1">
        <v>77</v>
      </c>
      <c r="G49" s="1">
        <v>2</v>
      </c>
      <c r="H49" s="1">
        <f>IF(Performance[[#This Row],[RIR]]="","",10-Performance[[#This Row],[RIR]])</f>
        <v>8</v>
      </c>
      <c r="I49" s="1" t="str" cm="1">
        <f t="array" ref="I49">_xlfn.XLOOKUP(Performance[[#This Row],[RPE]],RPE_Detalis[[#All],[RPE]],RPE_Detalis[[#All],[Detalis]],"")</f>
        <v>Hard</v>
      </c>
      <c r="J49" s="1">
        <f>Performance[[#This Row],[Reps]]*Performance[[#This Row],[Weight]]</f>
        <v>616</v>
      </c>
      <c r="K49" s="1" t="str">
        <f>_xlfn.XLOOKUP(Performance[[#This Row],[Exercise_Name]],Exercises[Exercise_Name],Exercises[Exercise_ID],"Not found")</f>
        <v>EX-061</v>
      </c>
      <c r="L49" s="1">
        <f>YEAR(Performance[[#This Row],[Date]])</f>
        <v>2026</v>
      </c>
      <c r="M49" s="1" t="str">
        <f>_xlfn.XLOOKUP(MONTH(Performance[[#This Row],[Date]]),Mapping!$K$1:$K$12,Mapping!$L$1:$L$12)</f>
        <v>April</v>
      </c>
      <c r="N49" s="1" t="str">
        <f>_xlfn.XLOOKUP(WEEKDAY(Performance[[#This Row],[Date]]),Mapping!$N$1:$N$7,Mapping!$O$1:$O$7,)</f>
        <v>Monday</v>
      </c>
    </row>
    <row r="50" spans="1:14" x14ac:dyDescent="0.25">
      <c r="A50" s="1">
        <v>3</v>
      </c>
      <c r="B50" s="2">
        <f>_xlfn.XLOOKUP(Performance[[#This Row],[Session_ID]],Sessions[Session_ID],Sessions[Date],"Not found")</f>
        <v>46117</v>
      </c>
      <c r="C50" s="1" t="s">
        <v>162</v>
      </c>
      <c r="D50" s="1">
        <v>5</v>
      </c>
      <c r="E50" s="1">
        <v>8</v>
      </c>
      <c r="F50" s="1">
        <v>67</v>
      </c>
      <c r="G50" s="1">
        <v>3</v>
      </c>
      <c r="H50" s="1">
        <f>IF(Performance[[#This Row],[RIR]]="","",10-Performance[[#This Row],[RIR]])</f>
        <v>7</v>
      </c>
      <c r="I50" s="1" t="str" cm="1">
        <f t="array" ref="I50">_xlfn.XLOOKUP(Performance[[#This Row],[RPE]],RPE_Detalis[[#All],[RPE]],RPE_Detalis[[#All],[Detalis]],"")</f>
        <v>Hard, but controlled</v>
      </c>
      <c r="J50" s="1">
        <f>Performance[[#This Row],[Reps]]*Performance[[#This Row],[Weight]]</f>
        <v>536</v>
      </c>
      <c r="K50" s="1" t="str">
        <f>_xlfn.XLOOKUP(Performance[[#This Row],[Exercise_Name]],Exercises[Exercise_Name],Exercises[Exercise_ID],"Not found")</f>
        <v>EX-115</v>
      </c>
      <c r="L50" s="1">
        <f>YEAR(Performance[[#This Row],[Date]])</f>
        <v>2026</v>
      </c>
      <c r="M50" s="1" t="str">
        <f>_xlfn.XLOOKUP(MONTH(Performance[[#This Row],[Date]]),Mapping!$K$1:$K$12,Mapping!$L$1:$L$12)</f>
        <v>April</v>
      </c>
      <c r="N50" s="1" t="str">
        <f>_xlfn.XLOOKUP(WEEKDAY(Performance[[#This Row],[Date]]),Mapping!$N$1:$N$7,Mapping!$O$1:$O$7,)</f>
        <v>Monday</v>
      </c>
    </row>
    <row r="51" spans="1:14" x14ac:dyDescent="0.25">
      <c r="A51" s="1">
        <v>3</v>
      </c>
      <c r="B51" s="2">
        <f>_xlfn.XLOOKUP(Performance[[#This Row],[Session_ID]],Sessions[Session_ID],Sessions[Date],"Not found")</f>
        <v>46117</v>
      </c>
      <c r="C51" s="1" t="s">
        <v>162</v>
      </c>
      <c r="D51" s="1">
        <v>1</v>
      </c>
      <c r="E51" s="1">
        <v>15</v>
      </c>
      <c r="F51" s="1">
        <v>55</v>
      </c>
      <c r="G51" s="1">
        <v>3</v>
      </c>
      <c r="H51" s="1">
        <f>IF(Performance[[#This Row],[RIR]]="","",10-Performance[[#This Row],[RIR]])</f>
        <v>7</v>
      </c>
      <c r="I51" s="1" t="str" cm="1">
        <f t="array" ref="I51">_xlfn.XLOOKUP(Performance[[#This Row],[RPE]],RPE_Detalis[[#All],[RPE]],RPE_Detalis[[#All],[Detalis]],"")</f>
        <v>Hard, but controlled</v>
      </c>
      <c r="J51" s="1">
        <f>Performance[[#This Row],[Reps]]*Performance[[#This Row],[Weight]]</f>
        <v>825</v>
      </c>
      <c r="K51" s="1" t="str">
        <f>_xlfn.XLOOKUP(Performance[[#This Row],[Exercise_Name]],Exercises[Exercise_Name],Exercises[Exercise_ID],"Not found")</f>
        <v>EX-115</v>
      </c>
      <c r="L51" s="1">
        <f>YEAR(Performance[[#This Row],[Date]])</f>
        <v>2026</v>
      </c>
      <c r="M51" s="1" t="str">
        <f>_xlfn.XLOOKUP(MONTH(Performance[[#This Row],[Date]]),Mapping!$K$1:$K$12,Mapping!$L$1:$L$12)</f>
        <v>April</v>
      </c>
      <c r="N51" s="1" t="str">
        <f>_xlfn.XLOOKUP(WEEKDAY(Performance[[#This Row],[Date]]),Mapping!$N$1:$N$7,Mapping!$O$1:$O$7,)</f>
        <v>Monday</v>
      </c>
    </row>
    <row r="52" spans="1:14" x14ac:dyDescent="0.25">
      <c r="A52" s="1">
        <v>3</v>
      </c>
      <c r="B52" s="2">
        <f>_xlfn.XLOOKUP(Performance[[#This Row],[Session_ID]],Sessions[Session_ID],Sessions[Date],"Not found")</f>
        <v>46117</v>
      </c>
      <c r="C52" s="1" t="s">
        <v>162</v>
      </c>
      <c r="D52" s="1">
        <v>4</v>
      </c>
      <c r="E52" s="1">
        <v>16</v>
      </c>
      <c r="F52" s="1">
        <v>57</v>
      </c>
      <c r="G52" s="1">
        <v>2</v>
      </c>
      <c r="H52" s="1">
        <f>IF(Performance[[#This Row],[RIR]]="","",10-Performance[[#This Row],[RIR]])</f>
        <v>8</v>
      </c>
      <c r="I52" s="1" t="str" cm="1">
        <f t="array" ref="I52">_xlfn.XLOOKUP(Performance[[#This Row],[RPE]],RPE_Detalis[[#All],[RPE]],RPE_Detalis[[#All],[Detalis]],"")</f>
        <v>Hard</v>
      </c>
      <c r="J52" s="1">
        <f>Performance[[#This Row],[Reps]]*Performance[[#This Row],[Weight]]</f>
        <v>912</v>
      </c>
      <c r="K52" s="1" t="str">
        <f>_xlfn.XLOOKUP(Performance[[#This Row],[Exercise_Name]],Exercises[Exercise_Name],Exercises[Exercise_ID],"Not found")</f>
        <v>EX-115</v>
      </c>
      <c r="L52" s="1">
        <f>YEAR(Performance[[#This Row],[Date]])</f>
        <v>2026</v>
      </c>
      <c r="M52" s="1" t="str">
        <f>_xlfn.XLOOKUP(MONTH(Performance[[#This Row],[Date]]),Mapping!$K$1:$K$12,Mapping!$L$1:$L$12)</f>
        <v>April</v>
      </c>
      <c r="N52" s="1" t="str">
        <f>_xlfn.XLOOKUP(WEEKDAY(Performance[[#This Row],[Date]]),Mapping!$N$1:$N$7,Mapping!$O$1:$O$7,)</f>
        <v>Monday</v>
      </c>
    </row>
    <row r="53" spans="1:14" x14ac:dyDescent="0.25">
      <c r="A53" s="1">
        <v>3</v>
      </c>
      <c r="B53" s="2">
        <f>_xlfn.XLOOKUP(Performance[[#This Row],[Session_ID]],Sessions[Session_ID],Sessions[Date],"Not found")</f>
        <v>46117</v>
      </c>
      <c r="C53" s="1" t="s">
        <v>158</v>
      </c>
      <c r="D53" s="1">
        <v>1</v>
      </c>
      <c r="E53" s="1">
        <v>20</v>
      </c>
      <c r="F53" s="1">
        <v>1</v>
      </c>
      <c r="G53" s="1">
        <v>1</v>
      </c>
      <c r="H53" s="1">
        <f>IF(Performance[[#This Row],[RIR]]="","",10-Performance[[#This Row],[RIR]])</f>
        <v>9</v>
      </c>
      <c r="I53" s="1" t="str" cm="1">
        <f t="array" ref="I53">_xlfn.XLOOKUP(Performance[[#This Row],[RPE]],RPE_Detalis[[#All],[RPE]],RPE_Detalis[[#All],[Detalis]],"")</f>
        <v>Very hard, almost max</v>
      </c>
      <c r="J53" s="1">
        <f>Performance[[#This Row],[Reps]]*Performance[[#This Row],[Weight]]</f>
        <v>20</v>
      </c>
      <c r="K53" s="1" t="str">
        <f>_xlfn.XLOOKUP(Performance[[#This Row],[Exercise_Name]],Exercises[Exercise_Name],Exercises[Exercise_ID],"Not found")</f>
        <v>EX-111</v>
      </c>
      <c r="L53" s="1">
        <f>YEAR(Performance[[#This Row],[Date]])</f>
        <v>2026</v>
      </c>
      <c r="M53" s="1" t="str">
        <f>_xlfn.XLOOKUP(MONTH(Performance[[#This Row],[Date]]),Mapping!$K$1:$K$12,Mapping!$L$1:$L$12)</f>
        <v>April</v>
      </c>
      <c r="N53" s="1" t="str">
        <f>_xlfn.XLOOKUP(WEEKDAY(Performance[[#This Row],[Date]]),Mapping!$N$1:$N$7,Mapping!$O$1:$O$7,)</f>
        <v>Monday</v>
      </c>
    </row>
    <row r="54" spans="1:14" x14ac:dyDescent="0.25">
      <c r="A54" s="1">
        <v>3</v>
      </c>
      <c r="B54" s="2">
        <f>_xlfn.XLOOKUP(Performance[[#This Row],[Session_ID]],Sessions[Session_ID],Sessions[Date],"Not found")</f>
        <v>46117</v>
      </c>
      <c r="C54" s="1" t="s">
        <v>158</v>
      </c>
      <c r="D54" s="1">
        <v>2</v>
      </c>
      <c r="E54" s="1">
        <v>18</v>
      </c>
      <c r="F54" s="1">
        <v>1</v>
      </c>
      <c r="G54" s="1">
        <v>1</v>
      </c>
      <c r="H54" s="1">
        <f>IF(Performance[[#This Row],[RIR]]="","",10-Performance[[#This Row],[RIR]])</f>
        <v>9</v>
      </c>
      <c r="I54" s="1" t="str" cm="1">
        <f t="array" ref="I54">_xlfn.XLOOKUP(Performance[[#This Row],[RPE]],RPE_Detalis[[#All],[RPE]],RPE_Detalis[[#All],[Detalis]],"")</f>
        <v>Very hard, almost max</v>
      </c>
      <c r="J54" s="1">
        <f>Performance[[#This Row],[Reps]]*Performance[[#This Row],[Weight]]</f>
        <v>18</v>
      </c>
      <c r="K54" s="1" t="str">
        <f>_xlfn.XLOOKUP(Performance[[#This Row],[Exercise_Name]],Exercises[Exercise_Name],Exercises[Exercise_ID],"Not found")</f>
        <v>EX-111</v>
      </c>
      <c r="L54" s="1">
        <f>YEAR(Performance[[#This Row],[Date]])</f>
        <v>2026</v>
      </c>
      <c r="M54" s="1" t="str">
        <f>_xlfn.XLOOKUP(MONTH(Performance[[#This Row],[Date]]),Mapping!$K$1:$K$12,Mapping!$L$1:$L$12)</f>
        <v>April</v>
      </c>
      <c r="N54" s="1" t="str">
        <f>_xlfn.XLOOKUP(WEEKDAY(Performance[[#This Row],[Date]]),Mapping!$N$1:$N$7,Mapping!$O$1:$O$7,)</f>
        <v>Monday</v>
      </c>
    </row>
    <row r="55" spans="1:14" x14ac:dyDescent="0.25">
      <c r="A55" s="1">
        <v>3</v>
      </c>
      <c r="B55" s="2">
        <f>_xlfn.XLOOKUP(Performance[[#This Row],[Session_ID]],Sessions[Session_ID],Sessions[Date],"Not found")</f>
        <v>46117</v>
      </c>
      <c r="C55" s="1" t="s">
        <v>158</v>
      </c>
      <c r="D55" s="1">
        <v>4</v>
      </c>
      <c r="E55" s="1">
        <v>17</v>
      </c>
      <c r="F55" s="1">
        <v>6</v>
      </c>
      <c r="G55" s="1">
        <v>1</v>
      </c>
      <c r="H55" s="1">
        <f>IF(Performance[[#This Row],[RIR]]="","",10-Performance[[#This Row],[RIR]])</f>
        <v>9</v>
      </c>
      <c r="I55" s="1" t="str" cm="1">
        <f t="array" ref="I55">_xlfn.XLOOKUP(Performance[[#This Row],[RPE]],RPE_Detalis[[#All],[RPE]],RPE_Detalis[[#All],[Detalis]],"")</f>
        <v>Very hard, almost max</v>
      </c>
      <c r="J55" s="1">
        <f>Performance[[#This Row],[Reps]]*Performance[[#This Row],[Weight]]</f>
        <v>102</v>
      </c>
      <c r="K55" s="1" t="str">
        <f>_xlfn.XLOOKUP(Performance[[#This Row],[Exercise_Name]],Exercises[Exercise_Name],Exercises[Exercise_ID],"Not found")</f>
        <v>EX-111</v>
      </c>
      <c r="L55" s="1">
        <f>YEAR(Performance[[#This Row],[Date]])</f>
        <v>2026</v>
      </c>
      <c r="M55" s="1" t="str">
        <f>_xlfn.XLOOKUP(MONTH(Performance[[#This Row],[Date]]),Mapping!$K$1:$K$12,Mapping!$L$1:$L$12)</f>
        <v>April</v>
      </c>
      <c r="N55" s="1" t="str">
        <f>_xlfn.XLOOKUP(WEEKDAY(Performance[[#This Row],[Date]]),Mapping!$N$1:$N$7,Mapping!$O$1:$O$7,)</f>
        <v>Monday</v>
      </c>
    </row>
    <row r="56" spans="1:14" x14ac:dyDescent="0.25">
      <c r="A56" s="1">
        <v>3</v>
      </c>
      <c r="B56" s="2">
        <f>_xlfn.XLOOKUP(Performance[[#This Row],[Session_ID]],Sessions[Session_ID],Sessions[Date],"Not found")</f>
        <v>46117</v>
      </c>
      <c r="C56" s="1" t="s">
        <v>172</v>
      </c>
      <c r="D56" s="1">
        <v>3</v>
      </c>
      <c r="E56" s="1">
        <v>13</v>
      </c>
      <c r="F56" s="1">
        <v>12</v>
      </c>
      <c r="G56" s="1">
        <v>2</v>
      </c>
      <c r="H56" s="1">
        <f>IF(Performance[[#This Row],[RIR]]="","",10-Performance[[#This Row],[RIR]])</f>
        <v>8</v>
      </c>
      <c r="I56" s="1" t="str" cm="1">
        <f t="array" ref="I56">_xlfn.XLOOKUP(Performance[[#This Row],[RPE]],RPE_Detalis[[#All],[RPE]],RPE_Detalis[[#All],[Detalis]],"")</f>
        <v>Hard</v>
      </c>
      <c r="J56" s="1">
        <f>Performance[[#This Row],[Reps]]*Performance[[#This Row],[Weight]]</f>
        <v>156</v>
      </c>
      <c r="K56" s="1" t="str">
        <f>_xlfn.XLOOKUP(Performance[[#This Row],[Exercise_Name]],Exercises[Exercise_Name],Exercises[Exercise_ID],"Not found")</f>
        <v>Not found</v>
      </c>
      <c r="L56" s="1">
        <f>YEAR(Performance[[#This Row],[Date]])</f>
        <v>2026</v>
      </c>
      <c r="M56" s="1" t="str">
        <f>_xlfn.XLOOKUP(MONTH(Performance[[#This Row],[Date]]),Mapping!$K$1:$K$12,Mapping!$L$1:$L$12)</f>
        <v>April</v>
      </c>
      <c r="N56" s="1" t="str">
        <f>_xlfn.XLOOKUP(WEEKDAY(Performance[[#This Row],[Date]]),Mapping!$N$1:$N$7,Mapping!$O$1:$O$7,)</f>
        <v>Monday</v>
      </c>
    </row>
    <row r="57" spans="1:14" x14ac:dyDescent="0.25">
      <c r="A57" s="1">
        <v>3</v>
      </c>
      <c r="B57" s="2">
        <f>_xlfn.XLOOKUP(Performance[[#This Row],[Session_ID]],Sessions[Session_ID],Sessions[Date],"Not found")</f>
        <v>46117</v>
      </c>
      <c r="C57" s="1" t="s">
        <v>172</v>
      </c>
      <c r="D57" s="1">
        <v>3</v>
      </c>
      <c r="E57" s="1">
        <v>13</v>
      </c>
      <c r="F57" s="1">
        <v>5</v>
      </c>
      <c r="G57" s="1">
        <v>1</v>
      </c>
      <c r="H57" s="1">
        <f>IF(Performance[[#This Row],[RIR]]="","",10-Performance[[#This Row],[RIR]])</f>
        <v>9</v>
      </c>
      <c r="I57" s="1" t="str" cm="1">
        <f t="array" ref="I57">_xlfn.XLOOKUP(Performance[[#This Row],[RPE]],RPE_Detalis[[#All],[RPE]],RPE_Detalis[[#All],[Detalis]],"")</f>
        <v>Very hard, almost max</v>
      </c>
      <c r="J57" s="1">
        <f>Performance[[#This Row],[Reps]]*Performance[[#This Row],[Weight]]</f>
        <v>65</v>
      </c>
      <c r="K57" s="1" t="str">
        <f>_xlfn.XLOOKUP(Performance[[#This Row],[Exercise_Name]],Exercises[Exercise_Name],Exercises[Exercise_ID],"Not found")</f>
        <v>Not found</v>
      </c>
      <c r="L57" s="1">
        <f>YEAR(Performance[[#This Row],[Date]])</f>
        <v>2026</v>
      </c>
      <c r="M57" s="1" t="str">
        <f>_xlfn.XLOOKUP(MONTH(Performance[[#This Row],[Date]]),Mapping!$K$1:$K$12,Mapping!$L$1:$L$12)</f>
        <v>April</v>
      </c>
      <c r="N57" s="1" t="str">
        <f>_xlfn.XLOOKUP(WEEKDAY(Performance[[#This Row],[Date]]),Mapping!$N$1:$N$7,Mapping!$O$1:$O$7,)</f>
        <v>Monday</v>
      </c>
    </row>
    <row r="58" spans="1:14" x14ac:dyDescent="0.25">
      <c r="A58" s="1">
        <v>3</v>
      </c>
      <c r="B58" s="2">
        <f>_xlfn.XLOOKUP(Performance[[#This Row],[Session_ID]],Sessions[Session_ID],Sessions[Date],"Not found")</f>
        <v>46117</v>
      </c>
      <c r="C58" s="1" t="s">
        <v>172</v>
      </c>
      <c r="D58" s="1">
        <v>1</v>
      </c>
      <c r="E58" s="1">
        <v>17</v>
      </c>
      <c r="F58" s="1">
        <v>45</v>
      </c>
      <c r="G58" s="1">
        <v>1</v>
      </c>
      <c r="H58" s="1">
        <f>IF(Performance[[#This Row],[RIR]]="","",10-Performance[[#This Row],[RIR]])</f>
        <v>9</v>
      </c>
      <c r="I58" s="1" t="str" cm="1">
        <f t="array" ref="I58">_xlfn.XLOOKUP(Performance[[#This Row],[RPE]],RPE_Detalis[[#All],[RPE]],RPE_Detalis[[#All],[Detalis]],"")</f>
        <v>Very hard, almost max</v>
      </c>
      <c r="J58" s="1">
        <f>Performance[[#This Row],[Reps]]*Performance[[#This Row],[Weight]]</f>
        <v>765</v>
      </c>
      <c r="K58" s="1" t="str">
        <f>_xlfn.XLOOKUP(Performance[[#This Row],[Exercise_Name]],Exercises[Exercise_Name],Exercises[Exercise_ID],"Not found")</f>
        <v>Not found</v>
      </c>
      <c r="L58" s="1">
        <f>YEAR(Performance[[#This Row],[Date]])</f>
        <v>2026</v>
      </c>
      <c r="M58" s="1" t="str">
        <f>_xlfn.XLOOKUP(MONTH(Performance[[#This Row],[Date]]),Mapping!$K$1:$K$12,Mapping!$L$1:$L$12)</f>
        <v>April</v>
      </c>
      <c r="N58" s="1" t="str">
        <f>_xlfn.XLOOKUP(WEEKDAY(Performance[[#This Row],[Date]]),Mapping!$N$1:$N$7,Mapping!$O$1:$O$7,)</f>
        <v>Monday</v>
      </c>
    </row>
    <row r="59" spans="1:14" x14ac:dyDescent="0.25">
      <c r="A59" s="1">
        <v>3</v>
      </c>
      <c r="B59" s="2">
        <f>_xlfn.XLOOKUP(Performance[[#This Row],[Session_ID]],Sessions[Session_ID],Sessions[Date],"Not found")</f>
        <v>46117</v>
      </c>
      <c r="C59" s="1" t="s">
        <v>38</v>
      </c>
      <c r="D59" s="1">
        <v>2</v>
      </c>
      <c r="E59" s="1">
        <v>12</v>
      </c>
      <c r="F59" s="1">
        <v>52</v>
      </c>
      <c r="G59" s="1">
        <v>3</v>
      </c>
      <c r="H59" s="1">
        <f>IF(Performance[[#This Row],[RIR]]="","",10-Performance[[#This Row],[RIR]])</f>
        <v>7</v>
      </c>
      <c r="I59" s="1" t="str" cm="1">
        <f t="array" ref="I59">_xlfn.XLOOKUP(Performance[[#This Row],[RPE]],RPE_Detalis[[#All],[RPE]],RPE_Detalis[[#All],[Detalis]],"")</f>
        <v>Hard, but controlled</v>
      </c>
      <c r="J59" s="1">
        <f>Performance[[#This Row],[Reps]]*Performance[[#This Row],[Weight]]</f>
        <v>624</v>
      </c>
      <c r="K59" s="1" t="str">
        <f>_xlfn.XLOOKUP(Performance[[#This Row],[Exercise_Name]],Exercises[Exercise_Name],Exercises[Exercise_ID],"Not found")</f>
        <v>EX-007</v>
      </c>
      <c r="L59" s="1">
        <f>YEAR(Performance[[#This Row],[Date]])</f>
        <v>2026</v>
      </c>
      <c r="M59" s="1" t="str">
        <f>_xlfn.XLOOKUP(MONTH(Performance[[#This Row],[Date]]),Mapping!$K$1:$K$12,Mapping!$L$1:$L$12)</f>
        <v>April</v>
      </c>
      <c r="N59" s="1" t="str">
        <f>_xlfn.XLOOKUP(WEEKDAY(Performance[[#This Row],[Date]]),Mapping!$N$1:$N$7,Mapping!$O$1:$O$7,)</f>
        <v>Monday</v>
      </c>
    </row>
    <row r="60" spans="1:14" x14ac:dyDescent="0.25">
      <c r="A60" s="1">
        <v>3</v>
      </c>
      <c r="B60" s="2">
        <f>_xlfn.XLOOKUP(Performance[[#This Row],[Session_ID]],Sessions[Session_ID],Sessions[Date],"Not found")</f>
        <v>46117</v>
      </c>
      <c r="C60" s="1" t="s">
        <v>38</v>
      </c>
      <c r="D60" s="1">
        <v>1</v>
      </c>
      <c r="E60" s="1">
        <v>13</v>
      </c>
      <c r="F60" s="1">
        <v>61</v>
      </c>
      <c r="G60" s="1">
        <v>2</v>
      </c>
      <c r="H60" s="1">
        <f>IF(Performance[[#This Row],[RIR]]="","",10-Performance[[#This Row],[RIR]])</f>
        <v>8</v>
      </c>
      <c r="I60" s="1" t="str" cm="1">
        <f t="array" ref="I60">_xlfn.XLOOKUP(Performance[[#This Row],[RPE]],RPE_Detalis[[#All],[RPE]],RPE_Detalis[[#All],[Detalis]],"")</f>
        <v>Hard</v>
      </c>
      <c r="J60" s="1">
        <f>Performance[[#This Row],[Reps]]*Performance[[#This Row],[Weight]]</f>
        <v>793</v>
      </c>
      <c r="K60" s="1" t="str">
        <f>_xlfn.XLOOKUP(Performance[[#This Row],[Exercise_Name]],Exercises[Exercise_Name],Exercises[Exercise_ID],"Not found")</f>
        <v>EX-007</v>
      </c>
      <c r="L60" s="1">
        <f>YEAR(Performance[[#This Row],[Date]])</f>
        <v>2026</v>
      </c>
      <c r="M60" s="1" t="str">
        <f>_xlfn.XLOOKUP(MONTH(Performance[[#This Row],[Date]]),Mapping!$K$1:$K$12,Mapping!$L$1:$L$12)</f>
        <v>April</v>
      </c>
      <c r="N60" s="1" t="str">
        <f>_xlfn.XLOOKUP(WEEKDAY(Performance[[#This Row],[Date]]),Mapping!$N$1:$N$7,Mapping!$O$1:$O$7,)</f>
        <v>Monday</v>
      </c>
    </row>
    <row r="61" spans="1:14" x14ac:dyDescent="0.25">
      <c r="A61" s="1">
        <v>3</v>
      </c>
      <c r="B61" s="2">
        <f>_xlfn.XLOOKUP(Performance[[#This Row],[Session_ID]],Sessions[Session_ID],Sessions[Date],"Not found")</f>
        <v>46117</v>
      </c>
      <c r="C61" s="1" t="s">
        <v>38</v>
      </c>
      <c r="D61" s="1">
        <v>4</v>
      </c>
      <c r="E61" s="1">
        <v>12</v>
      </c>
      <c r="F61" s="1">
        <v>34</v>
      </c>
      <c r="G61" s="1">
        <v>0</v>
      </c>
      <c r="H61" s="1">
        <f>IF(Performance[[#This Row],[RIR]]="","",10-Performance[[#This Row],[RIR]])</f>
        <v>10</v>
      </c>
      <c r="I61" s="1" t="str" cm="1">
        <f t="array" ref="I61">_xlfn.XLOOKUP(Performance[[#This Row],[RPE]],RPE_Detalis[[#All],[RPE]],RPE_Detalis[[#All],[Detalis]],"")</f>
        <v>MAX</v>
      </c>
      <c r="J61" s="1">
        <f>Performance[[#This Row],[Reps]]*Performance[[#This Row],[Weight]]</f>
        <v>408</v>
      </c>
      <c r="K61" s="1" t="str">
        <f>_xlfn.XLOOKUP(Performance[[#This Row],[Exercise_Name]],Exercises[Exercise_Name],Exercises[Exercise_ID],"Not found")</f>
        <v>EX-007</v>
      </c>
      <c r="L61" s="1">
        <f>YEAR(Performance[[#This Row],[Date]])</f>
        <v>2026</v>
      </c>
      <c r="M61" s="1" t="str">
        <f>_xlfn.XLOOKUP(MONTH(Performance[[#This Row],[Date]]),Mapping!$K$1:$K$12,Mapping!$L$1:$L$12)</f>
        <v>April</v>
      </c>
      <c r="N61" s="1" t="str">
        <f>_xlfn.XLOOKUP(WEEKDAY(Performance[[#This Row],[Date]]),Mapping!$N$1:$N$7,Mapping!$O$1:$O$7,)</f>
        <v>Monday</v>
      </c>
    </row>
    <row r="62" spans="1:14" x14ac:dyDescent="0.25">
      <c r="A62" s="1">
        <v>4</v>
      </c>
      <c r="B62" s="2">
        <f>_xlfn.XLOOKUP(Performance[[#This Row],[Session_ID]],Sessions[Session_ID],Sessions[Date],"Not found")</f>
        <v>46148</v>
      </c>
      <c r="C62" s="1" t="s">
        <v>160</v>
      </c>
      <c r="D62" s="1">
        <v>2</v>
      </c>
      <c r="E62" s="1">
        <v>10</v>
      </c>
      <c r="F62" s="1">
        <v>26</v>
      </c>
      <c r="G62" s="1">
        <v>3</v>
      </c>
      <c r="H62" s="1">
        <f>IF(Performance[[#This Row],[RIR]]="","",10-Performance[[#This Row],[RIR]])</f>
        <v>7</v>
      </c>
      <c r="I62" s="1" t="str" cm="1">
        <f t="array" ref="I62">_xlfn.XLOOKUP(Performance[[#This Row],[RPE]],RPE_Detalis[[#All],[RPE]],RPE_Detalis[[#All],[Detalis]],"")</f>
        <v>Hard, but controlled</v>
      </c>
      <c r="J62" s="1">
        <f>Performance[[#This Row],[Reps]]*Performance[[#This Row],[Weight]]</f>
        <v>260</v>
      </c>
      <c r="K62" s="1" t="str">
        <f>_xlfn.XLOOKUP(Performance[[#This Row],[Exercise_Name]],Exercises[Exercise_Name],Exercises[Exercise_ID],"Not found")</f>
        <v>EX-113</v>
      </c>
      <c r="L62" s="1">
        <f>YEAR(Performance[[#This Row],[Date]])</f>
        <v>2026</v>
      </c>
      <c r="M62" s="1" t="str">
        <f>_xlfn.XLOOKUP(MONTH(Performance[[#This Row],[Date]]),Mapping!$K$1:$K$12,Mapping!$L$1:$L$12)</f>
        <v>May</v>
      </c>
      <c r="N62" s="1" t="str">
        <f>_xlfn.XLOOKUP(WEEKDAY(Performance[[#This Row],[Date]]),Mapping!$N$1:$N$7,Mapping!$O$1:$O$7,)</f>
        <v>Thursday</v>
      </c>
    </row>
    <row r="63" spans="1:14" x14ac:dyDescent="0.25">
      <c r="A63" s="1">
        <v>4</v>
      </c>
      <c r="B63" s="2">
        <f>_xlfn.XLOOKUP(Performance[[#This Row],[Session_ID]],Sessions[Session_ID],Sessions[Date],"Not found")</f>
        <v>46148</v>
      </c>
      <c r="C63" s="1" t="s">
        <v>160</v>
      </c>
      <c r="D63" s="1">
        <v>5</v>
      </c>
      <c r="E63" s="1">
        <v>20</v>
      </c>
      <c r="F63" s="1">
        <v>53</v>
      </c>
      <c r="G63" s="1">
        <v>3</v>
      </c>
      <c r="H63" s="1">
        <f>IF(Performance[[#This Row],[RIR]]="","",10-Performance[[#This Row],[RIR]])</f>
        <v>7</v>
      </c>
      <c r="I63" s="1" t="str" cm="1">
        <f t="array" ref="I63">_xlfn.XLOOKUP(Performance[[#This Row],[RPE]],RPE_Detalis[[#All],[RPE]],RPE_Detalis[[#All],[Detalis]],"")</f>
        <v>Hard, but controlled</v>
      </c>
      <c r="J63" s="1">
        <f>Performance[[#This Row],[Reps]]*Performance[[#This Row],[Weight]]</f>
        <v>1060</v>
      </c>
      <c r="K63" s="1" t="str">
        <f>_xlfn.XLOOKUP(Performance[[#This Row],[Exercise_Name]],Exercises[Exercise_Name],Exercises[Exercise_ID],"Not found")</f>
        <v>EX-113</v>
      </c>
      <c r="L63" s="1">
        <f>YEAR(Performance[[#This Row],[Date]])</f>
        <v>2026</v>
      </c>
      <c r="M63" s="1" t="str">
        <f>_xlfn.XLOOKUP(MONTH(Performance[[#This Row],[Date]]),Mapping!$K$1:$K$12,Mapping!$L$1:$L$12)</f>
        <v>May</v>
      </c>
      <c r="N63" s="1" t="str">
        <f>_xlfn.XLOOKUP(WEEKDAY(Performance[[#This Row],[Date]]),Mapping!$N$1:$N$7,Mapping!$O$1:$O$7,)</f>
        <v>Thursday</v>
      </c>
    </row>
    <row r="64" spans="1:14" x14ac:dyDescent="0.25">
      <c r="A64" s="1">
        <v>4</v>
      </c>
      <c r="B64" s="2">
        <f>_xlfn.XLOOKUP(Performance[[#This Row],[Session_ID]],Sessions[Session_ID],Sessions[Date],"Not found")</f>
        <v>46148</v>
      </c>
      <c r="C64" s="1" t="s">
        <v>160</v>
      </c>
      <c r="D64" s="1">
        <v>4</v>
      </c>
      <c r="E64" s="1">
        <v>20</v>
      </c>
      <c r="F64" s="1">
        <v>85</v>
      </c>
      <c r="G64" s="1">
        <v>3</v>
      </c>
      <c r="H64" s="1">
        <f>IF(Performance[[#This Row],[RIR]]="","",10-Performance[[#This Row],[RIR]])</f>
        <v>7</v>
      </c>
      <c r="I64" s="1" t="str" cm="1">
        <f t="array" ref="I64">_xlfn.XLOOKUP(Performance[[#This Row],[RPE]],RPE_Detalis[[#All],[RPE]],RPE_Detalis[[#All],[Detalis]],"")</f>
        <v>Hard, but controlled</v>
      </c>
      <c r="J64" s="1">
        <f>Performance[[#This Row],[Reps]]*Performance[[#This Row],[Weight]]</f>
        <v>1700</v>
      </c>
      <c r="K64" s="1" t="str">
        <f>_xlfn.XLOOKUP(Performance[[#This Row],[Exercise_Name]],Exercises[Exercise_Name],Exercises[Exercise_ID],"Not found")</f>
        <v>EX-113</v>
      </c>
      <c r="L64" s="1">
        <f>YEAR(Performance[[#This Row],[Date]])</f>
        <v>2026</v>
      </c>
      <c r="M64" s="1" t="str">
        <f>_xlfn.XLOOKUP(MONTH(Performance[[#This Row],[Date]]),Mapping!$K$1:$K$12,Mapping!$L$1:$L$12)</f>
        <v>May</v>
      </c>
      <c r="N64" s="1" t="str">
        <f>_xlfn.XLOOKUP(WEEKDAY(Performance[[#This Row],[Date]]),Mapping!$N$1:$N$7,Mapping!$O$1:$O$7,)</f>
        <v>Thursday</v>
      </c>
    </row>
    <row r="65" spans="1:14" x14ac:dyDescent="0.25">
      <c r="A65" s="1">
        <v>4</v>
      </c>
      <c r="B65" s="2">
        <f>_xlfn.XLOOKUP(Performance[[#This Row],[Session_ID]],Sessions[Session_ID],Sessions[Date],"Not found")</f>
        <v>46148</v>
      </c>
      <c r="C65" s="1" t="s">
        <v>160</v>
      </c>
      <c r="D65" s="1">
        <v>4</v>
      </c>
      <c r="E65" s="1">
        <v>12</v>
      </c>
      <c r="F65" s="1">
        <v>28</v>
      </c>
      <c r="G65" s="1">
        <v>3</v>
      </c>
      <c r="H65" s="1">
        <f>IF(Performance[[#This Row],[RIR]]="","",10-Performance[[#This Row],[RIR]])</f>
        <v>7</v>
      </c>
      <c r="I65" s="1" t="str" cm="1">
        <f t="array" ref="I65">_xlfn.XLOOKUP(Performance[[#This Row],[RPE]],RPE_Detalis[[#All],[RPE]],RPE_Detalis[[#All],[Detalis]],"")</f>
        <v>Hard, but controlled</v>
      </c>
      <c r="J65" s="1">
        <f>Performance[[#This Row],[Reps]]*Performance[[#This Row],[Weight]]</f>
        <v>336</v>
      </c>
      <c r="K65" s="1" t="str">
        <f>_xlfn.XLOOKUP(Performance[[#This Row],[Exercise_Name]],Exercises[Exercise_Name],Exercises[Exercise_ID],"Not found")</f>
        <v>EX-113</v>
      </c>
      <c r="L65" s="1">
        <f>YEAR(Performance[[#This Row],[Date]])</f>
        <v>2026</v>
      </c>
      <c r="M65" s="1" t="str">
        <f>_xlfn.XLOOKUP(MONTH(Performance[[#This Row],[Date]]),Mapping!$K$1:$K$12,Mapping!$L$1:$L$12)</f>
        <v>May</v>
      </c>
      <c r="N65" s="1" t="str">
        <f>_xlfn.XLOOKUP(WEEKDAY(Performance[[#This Row],[Date]]),Mapping!$N$1:$N$7,Mapping!$O$1:$O$7,)</f>
        <v>Thursday</v>
      </c>
    </row>
    <row r="66" spans="1:14" x14ac:dyDescent="0.25">
      <c r="A66" s="1">
        <v>4</v>
      </c>
      <c r="B66" s="2">
        <f>_xlfn.XLOOKUP(Performance[[#This Row],[Session_ID]],Sessions[Session_ID],Sessions[Date],"Not found")</f>
        <v>46148</v>
      </c>
      <c r="C66" s="1" t="s">
        <v>99</v>
      </c>
      <c r="D66" s="1">
        <v>1</v>
      </c>
      <c r="E66" s="1">
        <v>10</v>
      </c>
      <c r="F66" s="1">
        <v>27</v>
      </c>
      <c r="G66" s="1">
        <v>5</v>
      </c>
      <c r="H66" s="1">
        <f>IF(Performance[[#This Row],[RIR]]="","",10-Performance[[#This Row],[RIR]])</f>
        <v>5</v>
      </c>
      <c r="I66" s="1" t="str" cm="1">
        <f t="array" ref="I66">_xlfn.XLOOKUP(Performance[[#This Row],[RPE]],RPE_Detalis[[#All],[RPE]],RPE_Detalis[[#All],[Detalis]],"")</f>
        <v>Warm-up / technic</v>
      </c>
      <c r="J66" s="1">
        <f>Performance[[#This Row],[Reps]]*Performance[[#This Row],[Weight]]</f>
        <v>270</v>
      </c>
      <c r="K66" s="1" t="str">
        <f>_xlfn.XLOOKUP(Performance[[#This Row],[Exercise_Name]],Exercises[Exercise_Name],Exercises[Exercise_ID],"Not found")</f>
        <v>EX-061</v>
      </c>
      <c r="L66" s="1">
        <f>YEAR(Performance[[#This Row],[Date]])</f>
        <v>2026</v>
      </c>
      <c r="M66" s="1" t="str">
        <f>_xlfn.XLOOKUP(MONTH(Performance[[#This Row],[Date]]),Mapping!$K$1:$K$12,Mapping!$L$1:$L$12)</f>
        <v>May</v>
      </c>
      <c r="N66" s="1" t="str">
        <f>_xlfn.XLOOKUP(WEEKDAY(Performance[[#This Row],[Date]]),Mapping!$N$1:$N$7,Mapping!$O$1:$O$7,)</f>
        <v>Thursday</v>
      </c>
    </row>
    <row r="67" spans="1:14" x14ac:dyDescent="0.25">
      <c r="A67" s="1">
        <v>4</v>
      </c>
      <c r="B67" s="2">
        <f>_xlfn.XLOOKUP(Performance[[#This Row],[Session_ID]],Sessions[Session_ID],Sessions[Date],"Not found")</f>
        <v>46148</v>
      </c>
      <c r="C67" s="1" t="s">
        <v>99</v>
      </c>
      <c r="D67" s="1">
        <v>2</v>
      </c>
      <c r="E67" s="1">
        <v>19</v>
      </c>
      <c r="F67" s="1">
        <v>92</v>
      </c>
      <c r="G67" s="1">
        <v>2</v>
      </c>
      <c r="H67" s="1">
        <f>IF(Performance[[#This Row],[RIR]]="","",10-Performance[[#This Row],[RIR]])</f>
        <v>8</v>
      </c>
      <c r="I67" s="1" t="str" cm="1">
        <f t="array" ref="I67">_xlfn.XLOOKUP(Performance[[#This Row],[RPE]],RPE_Detalis[[#All],[RPE]],RPE_Detalis[[#All],[Detalis]],"")</f>
        <v>Hard</v>
      </c>
      <c r="J67" s="1">
        <f>Performance[[#This Row],[Reps]]*Performance[[#This Row],[Weight]]</f>
        <v>1748</v>
      </c>
      <c r="K67" s="1" t="str">
        <f>_xlfn.XLOOKUP(Performance[[#This Row],[Exercise_Name]],Exercises[Exercise_Name],Exercises[Exercise_ID],"Not found")</f>
        <v>EX-061</v>
      </c>
      <c r="L67" s="1">
        <f>YEAR(Performance[[#This Row],[Date]])</f>
        <v>2026</v>
      </c>
      <c r="M67" s="1" t="str">
        <f>_xlfn.XLOOKUP(MONTH(Performance[[#This Row],[Date]]),Mapping!$K$1:$K$12,Mapping!$L$1:$L$12)</f>
        <v>May</v>
      </c>
      <c r="N67" s="1" t="str">
        <f>_xlfn.XLOOKUP(WEEKDAY(Performance[[#This Row],[Date]]),Mapping!$N$1:$N$7,Mapping!$O$1:$O$7,)</f>
        <v>Thursday</v>
      </c>
    </row>
    <row r="68" spans="1:14" x14ac:dyDescent="0.25">
      <c r="A68" s="1">
        <v>4</v>
      </c>
      <c r="B68" s="2">
        <f>_xlfn.XLOOKUP(Performance[[#This Row],[Session_ID]],Sessions[Session_ID],Sessions[Date],"Not found")</f>
        <v>46148</v>
      </c>
      <c r="C68" s="1" t="s">
        <v>99</v>
      </c>
      <c r="D68" s="1">
        <v>3</v>
      </c>
      <c r="E68" s="1">
        <v>11</v>
      </c>
      <c r="F68" s="1">
        <v>12</v>
      </c>
      <c r="G68" s="1">
        <v>2</v>
      </c>
      <c r="H68" s="1">
        <f>IF(Performance[[#This Row],[RIR]]="","",10-Performance[[#This Row],[RIR]])</f>
        <v>8</v>
      </c>
      <c r="I68" s="1" t="str" cm="1">
        <f t="array" ref="I68">_xlfn.XLOOKUP(Performance[[#This Row],[RPE]],RPE_Detalis[[#All],[RPE]],RPE_Detalis[[#All],[Detalis]],"")</f>
        <v>Hard</v>
      </c>
      <c r="J68" s="1">
        <f>Performance[[#This Row],[Reps]]*Performance[[#This Row],[Weight]]</f>
        <v>132</v>
      </c>
      <c r="K68" s="1" t="str">
        <f>_xlfn.XLOOKUP(Performance[[#This Row],[Exercise_Name]],Exercises[Exercise_Name],Exercises[Exercise_ID],"Not found")</f>
        <v>EX-061</v>
      </c>
      <c r="L68" s="1">
        <f>YEAR(Performance[[#This Row],[Date]])</f>
        <v>2026</v>
      </c>
      <c r="M68" s="1" t="str">
        <f>_xlfn.XLOOKUP(MONTH(Performance[[#This Row],[Date]]),Mapping!$K$1:$K$12,Mapping!$L$1:$L$12)</f>
        <v>May</v>
      </c>
      <c r="N68" s="1" t="str">
        <f>_xlfn.XLOOKUP(WEEKDAY(Performance[[#This Row],[Date]]),Mapping!$N$1:$N$7,Mapping!$O$1:$O$7,)</f>
        <v>Thursday</v>
      </c>
    </row>
    <row r="69" spans="1:14" x14ac:dyDescent="0.25">
      <c r="A69" s="1">
        <v>4</v>
      </c>
      <c r="B69" s="2">
        <f>_xlfn.XLOOKUP(Performance[[#This Row],[Session_ID]],Sessions[Session_ID],Sessions[Date],"Not found")</f>
        <v>46148</v>
      </c>
      <c r="C69" s="1" t="s">
        <v>99</v>
      </c>
      <c r="D69" s="1">
        <v>5</v>
      </c>
      <c r="E69" s="1">
        <v>10</v>
      </c>
      <c r="F69" s="1">
        <v>30</v>
      </c>
      <c r="G69" s="1">
        <v>2</v>
      </c>
      <c r="H69" s="1">
        <f>IF(Performance[[#This Row],[RIR]]="","",10-Performance[[#This Row],[RIR]])</f>
        <v>8</v>
      </c>
      <c r="I69" s="1" t="str" cm="1">
        <f t="array" ref="I69">_xlfn.XLOOKUP(Performance[[#This Row],[RPE]],RPE_Detalis[[#All],[RPE]],RPE_Detalis[[#All],[Detalis]],"")</f>
        <v>Hard</v>
      </c>
      <c r="J69" s="1">
        <f>Performance[[#This Row],[Reps]]*Performance[[#This Row],[Weight]]</f>
        <v>300</v>
      </c>
      <c r="K69" s="1" t="str">
        <f>_xlfn.XLOOKUP(Performance[[#This Row],[Exercise_Name]],Exercises[Exercise_Name],Exercises[Exercise_ID],"Not found")</f>
        <v>EX-061</v>
      </c>
      <c r="L69" s="1">
        <f>YEAR(Performance[[#This Row],[Date]])</f>
        <v>2026</v>
      </c>
      <c r="M69" s="1" t="str">
        <f>_xlfn.XLOOKUP(MONTH(Performance[[#This Row],[Date]]),Mapping!$K$1:$K$12,Mapping!$L$1:$L$12)</f>
        <v>May</v>
      </c>
      <c r="N69" s="1" t="str">
        <f>_xlfn.XLOOKUP(WEEKDAY(Performance[[#This Row],[Date]]),Mapping!$N$1:$N$7,Mapping!$O$1:$O$7,)</f>
        <v>Thursday</v>
      </c>
    </row>
    <row r="70" spans="1:14" x14ac:dyDescent="0.25">
      <c r="A70" s="1">
        <v>4</v>
      </c>
      <c r="B70" s="2">
        <f>_xlfn.XLOOKUP(Performance[[#This Row],[Session_ID]],Sessions[Session_ID],Sessions[Date],"Not found")</f>
        <v>46148</v>
      </c>
      <c r="C70" s="1" t="s">
        <v>162</v>
      </c>
      <c r="D70" s="1">
        <v>2</v>
      </c>
      <c r="E70" s="1">
        <v>11</v>
      </c>
      <c r="F70" s="1">
        <v>68</v>
      </c>
      <c r="G70" s="1">
        <v>3</v>
      </c>
      <c r="H70" s="1">
        <f>IF(Performance[[#This Row],[RIR]]="","",10-Performance[[#This Row],[RIR]])</f>
        <v>7</v>
      </c>
      <c r="I70" s="1" t="str" cm="1">
        <f t="array" ref="I70">_xlfn.XLOOKUP(Performance[[#This Row],[RPE]],RPE_Detalis[[#All],[RPE]],RPE_Detalis[[#All],[Detalis]],"")</f>
        <v>Hard, but controlled</v>
      </c>
      <c r="J70" s="1">
        <f>Performance[[#This Row],[Reps]]*Performance[[#This Row],[Weight]]</f>
        <v>748</v>
      </c>
      <c r="K70" s="1" t="str">
        <f>_xlfn.XLOOKUP(Performance[[#This Row],[Exercise_Name]],Exercises[Exercise_Name],Exercises[Exercise_ID],"Not found")</f>
        <v>EX-115</v>
      </c>
      <c r="L70" s="1">
        <f>YEAR(Performance[[#This Row],[Date]])</f>
        <v>2026</v>
      </c>
      <c r="M70" s="1" t="str">
        <f>_xlfn.XLOOKUP(MONTH(Performance[[#This Row],[Date]]),Mapping!$K$1:$K$12,Mapping!$L$1:$L$12)</f>
        <v>May</v>
      </c>
      <c r="N70" s="1" t="str">
        <f>_xlfn.XLOOKUP(WEEKDAY(Performance[[#This Row],[Date]]),Mapping!$N$1:$N$7,Mapping!$O$1:$O$7,)</f>
        <v>Thursday</v>
      </c>
    </row>
    <row r="71" spans="1:14" x14ac:dyDescent="0.25">
      <c r="A71" s="1">
        <v>4</v>
      </c>
      <c r="B71" s="2">
        <f>_xlfn.XLOOKUP(Performance[[#This Row],[Session_ID]],Sessions[Session_ID],Sessions[Date],"Not found")</f>
        <v>46148</v>
      </c>
      <c r="C71" s="1" t="s">
        <v>162</v>
      </c>
      <c r="D71" s="1">
        <v>3</v>
      </c>
      <c r="E71" s="1">
        <v>16</v>
      </c>
      <c r="F71" s="1">
        <v>59</v>
      </c>
      <c r="G71" s="1">
        <v>3</v>
      </c>
      <c r="H71" s="1">
        <f>IF(Performance[[#This Row],[RIR]]="","",10-Performance[[#This Row],[RIR]])</f>
        <v>7</v>
      </c>
      <c r="I71" s="1" t="str" cm="1">
        <f t="array" ref="I71">_xlfn.XLOOKUP(Performance[[#This Row],[RPE]],RPE_Detalis[[#All],[RPE]],RPE_Detalis[[#All],[Detalis]],"")</f>
        <v>Hard, but controlled</v>
      </c>
      <c r="J71" s="1">
        <f>Performance[[#This Row],[Reps]]*Performance[[#This Row],[Weight]]</f>
        <v>944</v>
      </c>
      <c r="K71" s="1" t="str">
        <f>_xlfn.XLOOKUP(Performance[[#This Row],[Exercise_Name]],Exercises[Exercise_Name],Exercises[Exercise_ID],"Not found")</f>
        <v>EX-115</v>
      </c>
      <c r="L71" s="1">
        <f>YEAR(Performance[[#This Row],[Date]])</f>
        <v>2026</v>
      </c>
      <c r="M71" s="1" t="str">
        <f>_xlfn.XLOOKUP(MONTH(Performance[[#This Row],[Date]]),Mapping!$K$1:$K$12,Mapping!$L$1:$L$12)</f>
        <v>May</v>
      </c>
      <c r="N71" s="1" t="str">
        <f>_xlfn.XLOOKUP(WEEKDAY(Performance[[#This Row],[Date]]),Mapping!$N$1:$N$7,Mapping!$O$1:$O$7,)</f>
        <v>Thursday</v>
      </c>
    </row>
    <row r="72" spans="1:14" x14ac:dyDescent="0.25">
      <c r="A72" s="1">
        <v>4</v>
      </c>
      <c r="B72" s="2">
        <f>_xlfn.XLOOKUP(Performance[[#This Row],[Session_ID]],Sessions[Session_ID],Sessions[Date],"Not found")</f>
        <v>46148</v>
      </c>
      <c r="C72" s="1" t="s">
        <v>162</v>
      </c>
      <c r="D72" s="1">
        <v>1</v>
      </c>
      <c r="E72" s="1">
        <v>13</v>
      </c>
      <c r="F72" s="1">
        <v>22</v>
      </c>
      <c r="G72" s="1">
        <v>2</v>
      </c>
      <c r="H72" s="1">
        <f>IF(Performance[[#This Row],[RIR]]="","",10-Performance[[#This Row],[RIR]])</f>
        <v>8</v>
      </c>
      <c r="I72" s="1" t="str" cm="1">
        <f t="array" ref="I72">_xlfn.XLOOKUP(Performance[[#This Row],[RPE]],RPE_Detalis[[#All],[RPE]],RPE_Detalis[[#All],[Detalis]],"")</f>
        <v>Hard</v>
      </c>
      <c r="J72" s="1">
        <f>Performance[[#This Row],[Reps]]*Performance[[#This Row],[Weight]]</f>
        <v>286</v>
      </c>
      <c r="K72" s="1" t="str">
        <f>_xlfn.XLOOKUP(Performance[[#This Row],[Exercise_Name]],Exercises[Exercise_Name],Exercises[Exercise_ID],"Not found")</f>
        <v>EX-115</v>
      </c>
      <c r="L72" s="1">
        <f>YEAR(Performance[[#This Row],[Date]])</f>
        <v>2026</v>
      </c>
      <c r="M72" s="1" t="str">
        <f>_xlfn.XLOOKUP(MONTH(Performance[[#This Row],[Date]]),Mapping!$K$1:$K$12,Mapping!$L$1:$L$12)</f>
        <v>May</v>
      </c>
      <c r="N72" s="1" t="str">
        <f>_xlfn.XLOOKUP(WEEKDAY(Performance[[#This Row],[Date]]),Mapping!$N$1:$N$7,Mapping!$O$1:$O$7,)</f>
        <v>Thursday</v>
      </c>
    </row>
    <row r="73" spans="1:14" x14ac:dyDescent="0.25">
      <c r="A73" s="1">
        <v>4</v>
      </c>
      <c r="B73" s="2">
        <f>_xlfn.XLOOKUP(Performance[[#This Row],[Session_ID]],Sessions[Session_ID],Sessions[Date],"Not found")</f>
        <v>46148</v>
      </c>
      <c r="C73" s="1" t="s">
        <v>158</v>
      </c>
      <c r="D73" s="1">
        <v>2</v>
      </c>
      <c r="E73" s="1">
        <v>16</v>
      </c>
      <c r="F73" s="1">
        <v>38</v>
      </c>
      <c r="G73" s="1">
        <v>1</v>
      </c>
      <c r="H73" s="1">
        <f>IF(Performance[[#This Row],[RIR]]="","",10-Performance[[#This Row],[RIR]])</f>
        <v>9</v>
      </c>
      <c r="I73" s="1" t="str" cm="1">
        <f t="array" ref="I73">_xlfn.XLOOKUP(Performance[[#This Row],[RPE]],RPE_Detalis[[#All],[RPE]],RPE_Detalis[[#All],[Detalis]],"")</f>
        <v>Very hard, almost max</v>
      </c>
      <c r="J73" s="1">
        <f>Performance[[#This Row],[Reps]]*Performance[[#This Row],[Weight]]</f>
        <v>608</v>
      </c>
      <c r="K73" s="1" t="str">
        <f>_xlfn.XLOOKUP(Performance[[#This Row],[Exercise_Name]],Exercises[Exercise_Name],Exercises[Exercise_ID],"Not found")</f>
        <v>EX-111</v>
      </c>
      <c r="L73" s="1">
        <f>YEAR(Performance[[#This Row],[Date]])</f>
        <v>2026</v>
      </c>
      <c r="M73" s="1" t="str">
        <f>_xlfn.XLOOKUP(MONTH(Performance[[#This Row],[Date]]),Mapping!$K$1:$K$12,Mapping!$L$1:$L$12)</f>
        <v>May</v>
      </c>
      <c r="N73" s="1" t="str">
        <f>_xlfn.XLOOKUP(WEEKDAY(Performance[[#This Row],[Date]]),Mapping!$N$1:$N$7,Mapping!$O$1:$O$7,)</f>
        <v>Thursday</v>
      </c>
    </row>
    <row r="74" spans="1:14" x14ac:dyDescent="0.25">
      <c r="A74" s="1">
        <v>4</v>
      </c>
      <c r="B74" s="2">
        <f>_xlfn.XLOOKUP(Performance[[#This Row],[Session_ID]],Sessions[Session_ID],Sessions[Date],"Not found")</f>
        <v>46148</v>
      </c>
      <c r="C74" s="1" t="s">
        <v>158</v>
      </c>
      <c r="D74" s="1">
        <v>5</v>
      </c>
      <c r="E74" s="1">
        <v>8</v>
      </c>
      <c r="F74" s="1">
        <v>3</v>
      </c>
      <c r="G74" s="1">
        <v>1</v>
      </c>
      <c r="H74" s="1">
        <f>IF(Performance[[#This Row],[RIR]]="","",10-Performance[[#This Row],[RIR]])</f>
        <v>9</v>
      </c>
      <c r="I74" s="1" t="str" cm="1">
        <f t="array" ref="I74">_xlfn.XLOOKUP(Performance[[#This Row],[RPE]],RPE_Detalis[[#All],[RPE]],RPE_Detalis[[#All],[Detalis]],"")</f>
        <v>Very hard, almost max</v>
      </c>
      <c r="J74" s="1">
        <f>Performance[[#This Row],[Reps]]*Performance[[#This Row],[Weight]]</f>
        <v>24</v>
      </c>
      <c r="K74" s="1" t="str">
        <f>_xlfn.XLOOKUP(Performance[[#This Row],[Exercise_Name]],Exercises[Exercise_Name],Exercises[Exercise_ID],"Not found")</f>
        <v>EX-111</v>
      </c>
      <c r="L74" s="1">
        <f>YEAR(Performance[[#This Row],[Date]])</f>
        <v>2026</v>
      </c>
      <c r="M74" s="1" t="str">
        <f>_xlfn.XLOOKUP(MONTH(Performance[[#This Row],[Date]]),Mapping!$K$1:$K$12,Mapping!$L$1:$L$12)</f>
        <v>May</v>
      </c>
      <c r="N74" s="1" t="str">
        <f>_xlfn.XLOOKUP(WEEKDAY(Performance[[#This Row],[Date]]),Mapping!$N$1:$N$7,Mapping!$O$1:$O$7,)</f>
        <v>Thursday</v>
      </c>
    </row>
    <row r="75" spans="1:14" x14ac:dyDescent="0.25">
      <c r="A75" s="1">
        <v>4</v>
      </c>
      <c r="B75" s="2">
        <f>_xlfn.XLOOKUP(Performance[[#This Row],[Session_ID]],Sessions[Session_ID],Sessions[Date],"Not found")</f>
        <v>46148</v>
      </c>
      <c r="C75" s="1" t="s">
        <v>158</v>
      </c>
      <c r="D75" s="1">
        <v>2</v>
      </c>
      <c r="E75" s="1">
        <v>12</v>
      </c>
      <c r="F75" s="1">
        <v>89</v>
      </c>
      <c r="G75" s="1">
        <v>1</v>
      </c>
      <c r="H75" s="1">
        <f>IF(Performance[[#This Row],[RIR]]="","",10-Performance[[#This Row],[RIR]])</f>
        <v>9</v>
      </c>
      <c r="I75" s="1" t="str" cm="1">
        <f t="array" ref="I75">_xlfn.XLOOKUP(Performance[[#This Row],[RPE]],RPE_Detalis[[#All],[RPE]],RPE_Detalis[[#All],[Detalis]],"")</f>
        <v>Very hard, almost max</v>
      </c>
      <c r="J75" s="1">
        <f>Performance[[#This Row],[Reps]]*Performance[[#This Row],[Weight]]</f>
        <v>1068</v>
      </c>
      <c r="K75" s="1" t="str">
        <f>_xlfn.XLOOKUP(Performance[[#This Row],[Exercise_Name]],Exercises[Exercise_Name],Exercises[Exercise_ID],"Not found")</f>
        <v>EX-111</v>
      </c>
      <c r="L75" s="1">
        <f>YEAR(Performance[[#This Row],[Date]])</f>
        <v>2026</v>
      </c>
      <c r="M75" s="1" t="str">
        <f>_xlfn.XLOOKUP(MONTH(Performance[[#This Row],[Date]]),Mapping!$K$1:$K$12,Mapping!$L$1:$L$12)</f>
        <v>May</v>
      </c>
      <c r="N75" s="1" t="str">
        <f>_xlfn.XLOOKUP(WEEKDAY(Performance[[#This Row],[Date]]),Mapping!$N$1:$N$7,Mapping!$O$1:$O$7,)</f>
        <v>Thursday</v>
      </c>
    </row>
    <row r="76" spans="1:14" x14ac:dyDescent="0.25">
      <c r="A76" s="1">
        <v>4</v>
      </c>
      <c r="B76" s="2">
        <f>_xlfn.XLOOKUP(Performance[[#This Row],[Session_ID]],Sessions[Session_ID],Sessions[Date],"Not found")</f>
        <v>46148</v>
      </c>
      <c r="C76" s="1" t="s">
        <v>172</v>
      </c>
      <c r="D76" s="1">
        <v>2</v>
      </c>
      <c r="E76" s="1">
        <v>13</v>
      </c>
      <c r="F76" s="1">
        <v>66</v>
      </c>
      <c r="G76" s="1">
        <v>2</v>
      </c>
      <c r="H76" s="1">
        <f>IF(Performance[[#This Row],[RIR]]="","",10-Performance[[#This Row],[RIR]])</f>
        <v>8</v>
      </c>
      <c r="I76" s="1" t="str" cm="1">
        <f t="array" ref="I76">_xlfn.XLOOKUP(Performance[[#This Row],[RPE]],RPE_Detalis[[#All],[RPE]],RPE_Detalis[[#All],[Detalis]],"")</f>
        <v>Hard</v>
      </c>
      <c r="J76" s="1">
        <f>Performance[[#This Row],[Reps]]*Performance[[#This Row],[Weight]]</f>
        <v>858</v>
      </c>
      <c r="K76" s="1" t="str">
        <f>_xlfn.XLOOKUP(Performance[[#This Row],[Exercise_Name]],Exercises[Exercise_Name],Exercises[Exercise_ID],"Not found")</f>
        <v>Not found</v>
      </c>
      <c r="L76" s="1">
        <f>YEAR(Performance[[#This Row],[Date]])</f>
        <v>2026</v>
      </c>
      <c r="M76" s="1" t="str">
        <f>_xlfn.XLOOKUP(MONTH(Performance[[#This Row],[Date]]),Mapping!$K$1:$K$12,Mapping!$L$1:$L$12)</f>
        <v>May</v>
      </c>
      <c r="N76" s="1" t="str">
        <f>_xlfn.XLOOKUP(WEEKDAY(Performance[[#This Row],[Date]]),Mapping!$N$1:$N$7,Mapping!$O$1:$O$7,)</f>
        <v>Thursday</v>
      </c>
    </row>
    <row r="77" spans="1:14" x14ac:dyDescent="0.25">
      <c r="A77" s="1">
        <v>4</v>
      </c>
      <c r="B77" s="2">
        <f>_xlfn.XLOOKUP(Performance[[#This Row],[Session_ID]],Sessions[Session_ID],Sessions[Date],"Not found")</f>
        <v>46148</v>
      </c>
      <c r="C77" s="1" t="s">
        <v>172</v>
      </c>
      <c r="D77" s="1">
        <v>4</v>
      </c>
      <c r="E77" s="1">
        <v>16</v>
      </c>
      <c r="F77" s="1">
        <v>55</v>
      </c>
      <c r="G77" s="1">
        <v>1</v>
      </c>
      <c r="H77" s="1">
        <f>IF(Performance[[#This Row],[RIR]]="","",10-Performance[[#This Row],[RIR]])</f>
        <v>9</v>
      </c>
      <c r="I77" s="1" t="str" cm="1">
        <f t="array" ref="I77">_xlfn.XLOOKUP(Performance[[#This Row],[RPE]],RPE_Detalis[[#All],[RPE]],RPE_Detalis[[#All],[Detalis]],"")</f>
        <v>Very hard, almost max</v>
      </c>
      <c r="J77" s="1">
        <f>Performance[[#This Row],[Reps]]*Performance[[#This Row],[Weight]]</f>
        <v>880</v>
      </c>
      <c r="K77" s="1" t="str">
        <f>_xlfn.XLOOKUP(Performance[[#This Row],[Exercise_Name]],Exercises[Exercise_Name],Exercises[Exercise_ID],"Not found")</f>
        <v>Not found</v>
      </c>
      <c r="L77" s="1">
        <f>YEAR(Performance[[#This Row],[Date]])</f>
        <v>2026</v>
      </c>
      <c r="M77" s="1" t="str">
        <f>_xlfn.XLOOKUP(MONTH(Performance[[#This Row],[Date]]),Mapping!$K$1:$K$12,Mapping!$L$1:$L$12)</f>
        <v>May</v>
      </c>
      <c r="N77" s="1" t="str">
        <f>_xlfn.XLOOKUP(WEEKDAY(Performance[[#This Row],[Date]]),Mapping!$N$1:$N$7,Mapping!$O$1:$O$7,)</f>
        <v>Thursday</v>
      </c>
    </row>
    <row r="78" spans="1:14" x14ac:dyDescent="0.25">
      <c r="A78" s="1">
        <v>4</v>
      </c>
      <c r="B78" s="2">
        <f>_xlfn.XLOOKUP(Performance[[#This Row],[Session_ID]],Sessions[Session_ID],Sessions[Date],"Not found")</f>
        <v>46148</v>
      </c>
      <c r="C78" s="1" t="s">
        <v>172</v>
      </c>
      <c r="D78" s="1">
        <v>4</v>
      </c>
      <c r="E78" s="1">
        <v>8</v>
      </c>
      <c r="F78" s="1">
        <v>67</v>
      </c>
      <c r="G78" s="1">
        <v>1</v>
      </c>
      <c r="H78" s="1">
        <f>IF(Performance[[#This Row],[RIR]]="","",10-Performance[[#This Row],[RIR]])</f>
        <v>9</v>
      </c>
      <c r="I78" s="1" t="str" cm="1">
        <f t="array" ref="I78">_xlfn.XLOOKUP(Performance[[#This Row],[RPE]],RPE_Detalis[[#All],[RPE]],RPE_Detalis[[#All],[Detalis]],"")</f>
        <v>Very hard, almost max</v>
      </c>
      <c r="J78" s="1">
        <f>Performance[[#This Row],[Reps]]*Performance[[#This Row],[Weight]]</f>
        <v>536</v>
      </c>
      <c r="K78" s="1" t="str">
        <f>_xlfn.XLOOKUP(Performance[[#This Row],[Exercise_Name]],Exercises[Exercise_Name],Exercises[Exercise_ID],"Not found")</f>
        <v>Not found</v>
      </c>
      <c r="L78" s="1">
        <f>YEAR(Performance[[#This Row],[Date]])</f>
        <v>2026</v>
      </c>
      <c r="M78" s="1" t="str">
        <f>_xlfn.XLOOKUP(MONTH(Performance[[#This Row],[Date]]),Mapping!$K$1:$K$12,Mapping!$L$1:$L$12)</f>
        <v>May</v>
      </c>
      <c r="N78" s="1" t="str">
        <f>_xlfn.XLOOKUP(WEEKDAY(Performance[[#This Row],[Date]]),Mapping!$N$1:$N$7,Mapping!$O$1:$O$7,)</f>
        <v>Thursday</v>
      </c>
    </row>
    <row r="79" spans="1:14" x14ac:dyDescent="0.25">
      <c r="A79" s="1">
        <v>4</v>
      </c>
      <c r="B79" s="2">
        <f>_xlfn.XLOOKUP(Performance[[#This Row],[Session_ID]],Sessions[Session_ID],Sessions[Date],"Not found")</f>
        <v>46148</v>
      </c>
      <c r="C79" s="1" t="s">
        <v>38</v>
      </c>
      <c r="D79" s="1">
        <v>2</v>
      </c>
      <c r="E79" s="1">
        <v>11</v>
      </c>
      <c r="F79" s="1">
        <v>79</v>
      </c>
      <c r="G79" s="1">
        <v>3</v>
      </c>
      <c r="H79" s="1">
        <f>IF(Performance[[#This Row],[RIR]]="","",10-Performance[[#This Row],[RIR]])</f>
        <v>7</v>
      </c>
      <c r="I79" s="1" t="str" cm="1">
        <f t="array" ref="I79">_xlfn.XLOOKUP(Performance[[#This Row],[RPE]],RPE_Detalis[[#All],[RPE]],RPE_Detalis[[#All],[Detalis]],"")</f>
        <v>Hard, but controlled</v>
      </c>
      <c r="J79" s="1">
        <f>Performance[[#This Row],[Reps]]*Performance[[#This Row],[Weight]]</f>
        <v>869</v>
      </c>
      <c r="K79" s="1" t="str">
        <f>_xlfn.XLOOKUP(Performance[[#This Row],[Exercise_Name]],Exercises[Exercise_Name],Exercises[Exercise_ID],"Not found")</f>
        <v>EX-007</v>
      </c>
      <c r="L79" s="1">
        <f>YEAR(Performance[[#This Row],[Date]])</f>
        <v>2026</v>
      </c>
      <c r="M79" s="1" t="str">
        <f>_xlfn.XLOOKUP(MONTH(Performance[[#This Row],[Date]]),Mapping!$K$1:$K$12,Mapping!$L$1:$L$12)</f>
        <v>May</v>
      </c>
      <c r="N79" s="1" t="str">
        <f>_xlfn.XLOOKUP(WEEKDAY(Performance[[#This Row],[Date]]),Mapping!$N$1:$N$7,Mapping!$O$1:$O$7,)</f>
        <v>Thursday</v>
      </c>
    </row>
    <row r="80" spans="1:14" x14ac:dyDescent="0.25">
      <c r="A80" s="1">
        <v>4</v>
      </c>
      <c r="B80" s="2">
        <f>_xlfn.XLOOKUP(Performance[[#This Row],[Session_ID]],Sessions[Session_ID],Sessions[Date],"Not found")</f>
        <v>46148</v>
      </c>
      <c r="C80" s="1" t="s">
        <v>38</v>
      </c>
      <c r="D80" s="1">
        <v>5</v>
      </c>
      <c r="E80" s="1">
        <v>17</v>
      </c>
      <c r="F80" s="1">
        <v>37</v>
      </c>
      <c r="G80" s="1">
        <v>2</v>
      </c>
      <c r="H80" s="1">
        <f>IF(Performance[[#This Row],[RIR]]="","",10-Performance[[#This Row],[RIR]])</f>
        <v>8</v>
      </c>
      <c r="I80" s="1" t="str" cm="1">
        <f t="array" ref="I80">_xlfn.XLOOKUP(Performance[[#This Row],[RPE]],RPE_Detalis[[#All],[RPE]],RPE_Detalis[[#All],[Detalis]],"")</f>
        <v>Hard</v>
      </c>
      <c r="J80" s="1">
        <f>Performance[[#This Row],[Reps]]*Performance[[#This Row],[Weight]]</f>
        <v>629</v>
      </c>
      <c r="K80" s="1" t="str">
        <f>_xlfn.XLOOKUP(Performance[[#This Row],[Exercise_Name]],Exercises[Exercise_Name],Exercises[Exercise_ID],"Not found")</f>
        <v>EX-007</v>
      </c>
      <c r="L80" s="1">
        <f>YEAR(Performance[[#This Row],[Date]])</f>
        <v>2026</v>
      </c>
      <c r="M80" s="1" t="str">
        <f>_xlfn.XLOOKUP(MONTH(Performance[[#This Row],[Date]]),Mapping!$K$1:$K$12,Mapping!$L$1:$L$12)</f>
        <v>May</v>
      </c>
      <c r="N80" s="1" t="str">
        <f>_xlfn.XLOOKUP(WEEKDAY(Performance[[#This Row],[Date]]),Mapping!$N$1:$N$7,Mapping!$O$1:$O$7,)</f>
        <v>Thursday</v>
      </c>
    </row>
    <row r="81" spans="1:14" x14ac:dyDescent="0.25">
      <c r="A81" s="1">
        <v>4</v>
      </c>
      <c r="B81" s="2">
        <f>_xlfn.XLOOKUP(Performance[[#This Row],[Session_ID]],Sessions[Session_ID],Sessions[Date],"Not found")</f>
        <v>46148</v>
      </c>
      <c r="C81" s="1" t="s">
        <v>38</v>
      </c>
      <c r="D81" s="1">
        <v>1</v>
      </c>
      <c r="E81" s="1">
        <v>19</v>
      </c>
      <c r="F81" s="1">
        <v>7</v>
      </c>
      <c r="G81" s="1">
        <v>0</v>
      </c>
      <c r="H81" s="1">
        <f>IF(Performance[[#This Row],[RIR]]="","",10-Performance[[#This Row],[RIR]])</f>
        <v>10</v>
      </c>
      <c r="I81" s="1" t="str" cm="1">
        <f t="array" ref="I81">_xlfn.XLOOKUP(Performance[[#This Row],[RPE]],RPE_Detalis[[#All],[RPE]],RPE_Detalis[[#All],[Detalis]],"")</f>
        <v>MAX</v>
      </c>
      <c r="J81" s="1">
        <f>Performance[[#This Row],[Reps]]*Performance[[#This Row],[Weight]]</f>
        <v>133</v>
      </c>
      <c r="K81" s="1" t="str">
        <f>_xlfn.XLOOKUP(Performance[[#This Row],[Exercise_Name]],Exercises[Exercise_Name],Exercises[Exercise_ID],"Not found")</f>
        <v>EX-007</v>
      </c>
      <c r="L81" s="1">
        <f>YEAR(Performance[[#This Row],[Date]])</f>
        <v>2026</v>
      </c>
      <c r="M81" s="1" t="str">
        <f>_xlfn.XLOOKUP(MONTH(Performance[[#This Row],[Date]]),Mapping!$K$1:$K$12,Mapping!$L$1:$L$12)</f>
        <v>May</v>
      </c>
      <c r="N81" s="1" t="str">
        <f>_xlfn.XLOOKUP(WEEKDAY(Performance[[#This Row],[Date]]),Mapping!$N$1:$N$7,Mapping!$O$1:$O$7,)</f>
        <v>Thursday</v>
      </c>
    </row>
  </sheetData>
  <conditionalFormatting sqref="H2:H81">
    <cfRule type="colorScale" priority="3">
      <colorScale>
        <cfvo type="min"/>
        <cfvo type="percentile" val="65"/>
        <cfvo type="max"/>
        <color rgb="FF00B050"/>
        <color rgb="FFFFEB84"/>
        <color rgb="FFFF0000"/>
      </colorScale>
    </cfRule>
  </conditionalFormatting>
  <conditionalFormatting sqref="K1:K1048576">
    <cfRule type="containsText" dxfId="0" priority="1" operator="containsText" text="Not found">
      <formula>NOT(ISERROR(SEARCH("Not found",K1)))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6A4246-C71A-47D3-9D24-ACF09DE83886}">
          <x14:formula1>
            <xm:f>Exercises!$B:$B</xm:f>
          </x14:formula1>
          <xm:sqref>C2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066D7-9C20-4259-A621-D4B245CFAC9E}">
  <dimension ref="A1:C12"/>
  <sheetViews>
    <sheetView showGridLines="0" workbookViewId="0">
      <selection activeCell="C45" sqref="C45"/>
    </sheetView>
  </sheetViews>
  <sheetFormatPr defaultColWidth="0" defaultRowHeight="15" x14ac:dyDescent="0.25"/>
  <cols>
    <col min="1" max="1" width="16.5703125" style="21" bestFit="1" customWidth="1"/>
    <col min="2" max="2" width="18" style="21" bestFit="1" customWidth="1"/>
    <col min="3" max="3" width="9.140625" style="19" customWidth="1"/>
    <col min="4" max="16384" width="9.140625" style="19" hidden="1"/>
  </cols>
  <sheetData>
    <row r="1" spans="1:2" ht="15.75" x14ac:dyDescent="0.25">
      <c r="A1" s="28" t="s">
        <v>1</v>
      </c>
      <c r="B1" s="28" t="s">
        <v>192</v>
      </c>
    </row>
    <row r="2" spans="1:2" ht="15.75" x14ac:dyDescent="0.25">
      <c r="A2" s="20">
        <v>45992</v>
      </c>
      <c r="B2" s="25">
        <v>80</v>
      </c>
    </row>
    <row r="3" spans="1:2" ht="15.75" x14ac:dyDescent="0.25">
      <c r="A3" s="20">
        <v>45995</v>
      </c>
      <c r="B3" s="25">
        <v>81</v>
      </c>
    </row>
    <row r="4" spans="1:2" ht="15.75" x14ac:dyDescent="0.25">
      <c r="A4" s="20">
        <v>46011</v>
      </c>
      <c r="B4" s="25">
        <v>82</v>
      </c>
    </row>
    <row r="5" spans="1:2" ht="15.75" x14ac:dyDescent="0.25">
      <c r="A5" s="20">
        <v>46012</v>
      </c>
      <c r="B5" s="25">
        <v>83</v>
      </c>
    </row>
    <row r="6" spans="1:2" ht="15.75" x14ac:dyDescent="0.25">
      <c r="A6" s="20">
        <v>46024</v>
      </c>
      <c r="B6" s="25">
        <v>83.5</v>
      </c>
    </row>
    <row r="7" spans="1:2" ht="15.75" x14ac:dyDescent="0.25">
      <c r="A7" s="20">
        <v>46025</v>
      </c>
      <c r="B7" s="25">
        <v>84</v>
      </c>
    </row>
    <row r="8" spans="1:2" ht="15.75" x14ac:dyDescent="0.25">
      <c r="A8" s="20">
        <v>46031</v>
      </c>
      <c r="B8" s="25">
        <v>84</v>
      </c>
    </row>
    <row r="9" spans="1:2" ht="15.75" x14ac:dyDescent="0.25">
      <c r="A9" s="20">
        <v>46040</v>
      </c>
      <c r="B9" s="25">
        <v>84.3</v>
      </c>
    </row>
    <row r="10" spans="1:2" ht="15.75" x14ac:dyDescent="0.25">
      <c r="A10" s="20">
        <v>46041</v>
      </c>
      <c r="B10" s="25">
        <v>84.2</v>
      </c>
    </row>
    <row r="11" spans="1:2" ht="15.75" x14ac:dyDescent="0.25">
      <c r="A11" s="20">
        <v>46046</v>
      </c>
      <c r="B11" s="25">
        <v>83.7</v>
      </c>
    </row>
    <row r="12" spans="1:2" ht="15.75" x14ac:dyDescent="0.25">
      <c r="A12" s="20">
        <v>46053</v>
      </c>
      <c r="B12" s="25">
        <v>83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6828-A66F-48F7-A699-26056B96CB31}">
  <dimension ref="A1:S95"/>
  <sheetViews>
    <sheetView showGridLines="0" workbookViewId="0">
      <selection activeCell="G29" sqref="G29"/>
    </sheetView>
  </sheetViews>
  <sheetFormatPr defaultColWidth="0" defaultRowHeight="15" x14ac:dyDescent="0.25"/>
  <cols>
    <col min="1" max="1" width="12.42578125" style="21" bestFit="1" customWidth="1"/>
    <col min="2" max="2" width="8" style="21" customWidth="1"/>
    <col min="3" max="3" width="9.140625" style="21" customWidth="1"/>
    <col min="4" max="4" width="9.28515625" style="21" customWidth="1"/>
    <col min="5" max="5" width="9.140625" style="21" customWidth="1"/>
    <col min="6" max="6" width="11.7109375" style="21" customWidth="1"/>
    <col min="7" max="9" width="9.140625" style="21" customWidth="1"/>
    <col min="10" max="19" width="9.140625" style="19" customWidth="1"/>
    <col min="20" max="16384" width="9.140625" style="19" hidden="1"/>
  </cols>
  <sheetData>
    <row r="1" spans="1:9" ht="15.75" x14ac:dyDescent="0.25">
      <c r="A1" s="29" t="s">
        <v>1</v>
      </c>
      <c r="B1" s="29" t="s">
        <v>185</v>
      </c>
      <c r="C1" s="29" t="s">
        <v>68</v>
      </c>
      <c r="D1" s="29" t="s">
        <v>63</v>
      </c>
      <c r="E1" s="29" t="s">
        <v>186</v>
      </c>
      <c r="F1" s="29" t="s">
        <v>187</v>
      </c>
      <c r="G1" s="29" t="s">
        <v>188</v>
      </c>
      <c r="H1" s="29" t="s">
        <v>189</v>
      </c>
      <c r="I1" s="29" t="s">
        <v>190</v>
      </c>
    </row>
    <row r="2" spans="1:9" ht="15.75" x14ac:dyDescent="0.25">
      <c r="A2" s="20">
        <v>46003</v>
      </c>
      <c r="B2" s="21">
        <v>30</v>
      </c>
      <c r="C2" s="21">
        <v>80</v>
      </c>
      <c r="D2" s="21">
        <v>31</v>
      </c>
      <c r="E2" s="21">
        <v>70</v>
      </c>
      <c r="F2" s="21">
        <v>73</v>
      </c>
      <c r="G2" s="21">
        <v>70</v>
      </c>
      <c r="H2" s="21">
        <v>40</v>
      </c>
      <c r="I2" s="21">
        <v>32</v>
      </c>
    </row>
    <row r="3" spans="1:9" ht="15.75" x14ac:dyDescent="0.25">
      <c r="A3" s="20">
        <v>46011</v>
      </c>
      <c r="B3" s="21">
        <v>29</v>
      </c>
      <c r="C3" s="21">
        <v>81</v>
      </c>
      <c r="D3" s="21">
        <v>31</v>
      </c>
      <c r="E3" s="21">
        <v>71</v>
      </c>
      <c r="F3" s="21">
        <v>71</v>
      </c>
      <c r="G3" s="21">
        <v>71</v>
      </c>
      <c r="H3" s="21">
        <v>42</v>
      </c>
      <c r="I3" s="21">
        <v>31</v>
      </c>
    </row>
    <row r="4" spans="1:9" ht="15.75" x14ac:dyDescent="0.25">
      <c r="A4" s="20"/>
    </row>
    <row r="5" spans="1:9" ht="15.75" x14ac:dyDescent="0.25">
      <c r="A5" s="20"/>
    </row>
    <row r="6" spans="1:9" ht="15.75" x14ac:dyDescent="0.25">
      <c r="A6" s="20"/>
    </row>
    <row r="7" spans="1:9" ht="15.75" x14ac:dyDescent="0.25">
      <c r="A7" s="20"/>
    </row>
    <row r="8" spans="1:9" ht="15.75" x14ac:dyDescent="0.25">
      <c r="A8" s="20"/>
    </row>
    <row r="9" spans="1:9" ht="15.75" x14ac:dyDescent="0.25">
      <c r="A9" s="20"/>
    </row>
    <row r="10" spans="1:9" ht="15.75" x14ac:dyDescent="0.25">
      <c r="A10" s="20"/>
    </row>
    <row r="11" spans="1:9" ht="15.75" x14ac:dyDescent="0.25">
      <c r="A11" s="20"/>
    </row>
    <row r="12" spans="1:9" ht="15.75" x14ac:dyDescent="0.25">
      <c r="A12" s="20"/>
    </row>
    <row r="13" spans="1:9" ht="15.75" x14ac:dyDescent="0.25">
      <c r="A13" s="20"/>
    </row>
    <row r="14" spans="1:9" ht="15.75" x14ac:dyDescent="0.25">
      <c r="A14" s="20"/>
    </row>
    <row r="15" spans="1:9" ht="15.75" x14ac:dyDescent="0.25">
      <c r="A15" s="20"/>
    </row>
    <row r="16" spans="1:9" ht="15.75" x14ac:dyDescent="0.25">
      <c r="A16" s="20"/>
    </row>
    <row r="17" spans="1:10" s="21" customFormat="1" ht="15.75" x14ac:dyDescent="0.25">
      <c r="A17" s="20"/>
      <c r="J17" s="19"/>
    </row>
    <row r="18" spans="1:10" s="21" customFormat="1" ht="15.75" x14ac:dyDescent="0.25">
      <c r="A18" s="20"/>
      <c r="J18" s="19"/>
    </row>
    <row r="19" spans="1:10" s="21" customFormat="1" ht="15.75" x14ac:dyDescent="0.25">
      <c r="A19" s="20"/>
      <c r="J19" s="19"/>
    </row>
    <row r="20" spans="1:10" s="21" customFormat="1" ht="15.75" x14ac:dyDescent="0.25">
      <c r="A20" s="20"/>
      <c r="J20" s="19"/>
    </row>
    <row r="21" spans="1:10" s="21" customFormat="1" ht="15.75" x14ac:dyDescent="0.25">
      <c r="A21" s="20"/>
      <c r="J21" s="19"/>
    </row>
    <row r="22" spans="1:10" s="21" customFormat="1" ht="15.75" x14ac:dyDescent="0.25">
      <c r="A22" s="20"/>
      <c r="J22" s="19"/>
    </row>
    <row r="23" spans="1:10" s="21" customFormat="1" ht="15.75" x14ac:dyDescent="0.25">
      <c r="A23" s="20"/>
      <c r="J23" s="19"/>
    </row>
    <row r="24" spans="1:10" s="21" customFormat="1" ht="15.75" x14ac:dyDescent="0.25">
      <c r="A24" s="20"/>
      <c r="J24" s="19"/>
    </row>
    <row r="25" spans="1:10" s="21" customFormat="1" ht="15.75" x14ac:dyDescent="0.25">
      <c r="A25" s="20"/>
      <c r="J25" s="19"/>
    </row>
    <row r="26" spans="1:10" s="21" customFormat="1" ht="15.75" x14ac:dyDescent="0.25">
      <c r="A26" s="20"/>
      <c r="J26" s="19"/>
    </row>
    <row r="27" spans="1:10" s="21" customFormat="1" ht="15.75" x14ac:dyDescent="0.25">
      <c r="A27" s="20"/>
      <c r="J27" s="19"/>
    </row>
    <row r="28" spans="1:10" s="21" customFormat="1" ht="15.75" x14ac:dyDescent="0.25">
      <c r="A28" s="20"/>
      <c r="J28" s="19"/>
    </row>
    <row r="29" spans="1:10" s="21" customFormat="1" ht="15.75" x14ac:dyDescent="0.25">
      <c r="A29" s="20"/>
      <c r="J29" s="19"/>
    </row>
    <row r="30" spans="1:10" s="21" customFormat="1" ht="15.75" x14ac:dyDescent="0.25">
      <c r="A30" s="20"/>
      <c r="J30" s="19"/>
    </row>
    <row r="31" spans="1:10" s="21" customFormat="1" ht="15.75" x14ac:dyDescent="0.25">
      <c r="A31" s="20"/>
      <c r="J31" s="19"/>
    </row>
    <row r="32" spans="1:10" s="21" customFormat="1" ht="15.75" x14ac:dyDescent="0.25">
      <c r="A32" s="20"/>
      <c r="J32" s="19"/>
    </row>
    <row r="33" spans="1:10" s="21" customFormat="1" ht="15.75" x14ac:dyDescent="0.25">
      <c r="A33" s="20"/>
      <c r="J33" s="19"/>
    </row>
    <row r="34" spans="1:10" s="21" customFormat="1" ht="15.75" x14ac:dyDescent="0.25">
      <c r="A34" s="20"/>
      <c r="J34" s="19"/>
    </row>
    <row r="35" spans="1:10" s="21" customFormat="1" ht="15.75" x14ac:dyDescent="0.25">
      <c r="A35" s="20"/>
      <c r="J35" s="19"/>
    </row>
    <row r="36" spans="1:10" s="21" customFormat="1" ht="15.75" x14ac:dyDescent="0.25">
      <c r="A36" s="20"/>
      <c r="J36" s="19"/>
    </row>
    <row r="37" spans="1:10" s="21" customFormat="1" ht="15.75" x14ac:dyDescent="0.25">
      <c r="A37" s="20"/>
      <c r="J37" s="19"/>
    </row>
    <row r="38" spans="1:10" s="21" customFormat="1" ht="15.75" x14ac:dyDescent="0.25">
      <c r="A38" s="20"/>
      <c r="J38" s="19"/>
    </row>
    <row r="39" spans="1:10" s="21" customFormat="1" ht="15.75" x14ac:dyDescent="0.25">
      <c r="A39" s="20"/>
      <c r="J39" s="19"/>
    </row>
    <row r="40" spans="1:10" s="21" customFormat="1" ht="15.75" x14ac:dyDescent="0.25">
      <c r="A40" s="20"/>
      <c r="J40" s="19"/>
    </row>
    <row r="41" spans="1:10" s="21" customFormat="1" ht="15.75" x14ac:dyDescent="0.25">
      <c r="A41" s="20"/>
      <c r="J41" s="19"/>
    </row>
    <row r="42" spans="1:10" s="21" customFormat="1" ht="15.75" x14ac:dyDescent="0.25">
      <c r="A42" s="20"/>
      <c r="J42" s="19"/>
    </row>
    <row r="43" spans="1:10" s="21" customFormat="1" ht="15.75" x14ac:dyDescent="0.25">
      <c r="A43" s="20"/>
      <c r="J43" s="19"/>
    </row>
    <row r="44" spans="1:10" s="21" customFormat="1" ht="15.75" x14ac:dyDescent="0.25">
      <c r="A44" s="20"/>
      <c r="J44" s="19"/>
    </row>
    <row r="45" spans="1:10" s="21" customFormat="1" ht="15.75" x14ac:dyDescent="0.25">
      <c r="A45" s="20"/>
      <c r="J45" s="19"/>
    </row>
    <row r="46" spans="1:10" s="21" customFormat="1" ht="15.75" x14ac:dyDescent="0.25">
      <c r="A46" s="20"/>
      <c r="J46" s="19"/>
    </row>
    <row r="47" spans="1:10" s="21" customFormat="1" ht="15.75" x14ac:dyDescent="0.25">
      <c r="A47" s="20"/>
      <c r="J47" s="19"/>
    </row>
    <row r="48" spans="1:10" s="21" customFormat="1" ht="15.75" x14ac:dyDescent="0.25">
      <c r="A48" s="20"/>
      <c r="J48" s="19"/>
    </row>
    <row r="49" spans="1:10" s="21" customFormat="1" ht="15.75" x14ac:dyDescent="0.25">
      <c r="A49" s="20"/>
      <c r="J49" s="19"/>
    </row>
    <row r="50" spans="1:10" s="21" customFormat="1" ht="15.75" x14ac:dyDescent="0.25">
      <c r="A50" s="20"/>
      <c r="J50" s="19"/>
    </row>
    <row r="51" spans="1:10" s="21" customFormat="1" ht="15.75" x14ac:dyDescent="0.25">
      <c r="A51" s="20"/>
      <c r="J51" s="19"/>
    </row>
    <row r="52" spans="1:10" s="21" customFormat="1" ht="15.75" x14ac:dyDescent="0.25">
      <c r="A52" s="20"/>
      <c r="J52" s="19"/>
    </row>
    <row r="53" spans="1:10" s="21" customFormat="1" ht="15.75" x14ac:dyDescent="0.25">
      <c r="A53" s="20"/>
      <c r="J53" s="19"/>
    </row>
    <row r="54" spans="1:10" s="21" customFormat="1" ht="15.75" x14ac:dyDescent="0.25">
      <c r="A54" s="20"/>
      <c r="J54" s="19"/>
    </row>
    <row r="55" spans="1:10" s="21" customFormat="1" ht="15.75" x14ac:dyDescent="0.25">
      <c r="A55" s="20"/>
      <c r="J55" s="19"/>
    </row>
    <row r="56" spans="1:10" s="21" customFormat="1" ht="15.75" x14ac:dyDescent="0.25">
      <c r="A56" s="20"/>
      <c r="J56" s="19"/>
    </row>
    <row r="57" spans="1:10" s="21" customFormat="1" ht="15.75" x14ac:dyDescent="0.25">
      <c r="A57" s="20"/>
      <c r="J57" s="19"/>
    </row>
    <row r="58" spans="1:10" s="21" customFormat="1" ht="15.75" x14ac:dyDescent="0.25">
      <c r="A58" s="20"/>
      <c r="J58" s="19"/>
    </row>
    <row r="59" spans="1:10" s="21" customFormat="1" ht="15.75" x14ac:dyDescent="0.25">
      <c r="A59" s="20"/>
      <c r="J59" s="19"/>
    </row>
    <row r="60" spans="1:10" s="21" customFormat="1" ht="15.75" x14ac:dyDescent="0.25">
      <c r="A60" s="20"/>
      <c r="J60" s="19"/>
    </row>
    <row r="61" spans="1:10" s="21" customFormat="1" ht="15.75" x14ac:dyDescent="0.25">
      <c r="A61" s="20"/>
      <c r="J61" s="19"/>
    </row>
    <row r="62" spans="1:10" s="21" customFormat="1" ht="15.75" x14ac:dyDescent="0.25">
      <c r="A62" s="20"/>
      <c r="J62" s="19"/>
    </row>
    <row r="63" spans="1:10" s="21" customFormat="1" ht="15.75" x14ac:dyDescent="0.25">
      <c r="A63" s="20"/>
      <c r="J63" s="19"/>
    </row>
    <row r="64" spans="1:10" s="21" customFormat="1" ht="15.75" x14ac:dyDescent="0.25">
      <c r="A64" s="20"/>
      <c r="J64" s="19"/>
    </row>
    <row r="65" spans="1:10" s="21" customFormat="1" ht="15.75" x14ac:dyDescent="0.25">
      <c r="A65" s="20"/>
      <c r="J65" s="19"/>
    </row>
    <row r="66" spans="1:10" s="21" customFormat="1" ht="15.75" x14ac:dyDescent="0.25">
      <c r="A66" s="20"/>
      <c r="J66" s="19"/>
    </row>
    <row r="67" spans="1:10" s="21" customFormat="1" ht="15.75" x14ac:dyDescent="0.25">
      <c r="A67" s="20"/>
      <c r="J67" s="19"/>
    </row>
    <row r="68" spans="1:10" s="21" customFormat="1" ht="15.75" x14ac:dyDescent="0.25">
      <c r="A68" s="20"/>
      <c r="J68" s="19"/>
    </row>
    <row r="69" spans="1:10" s="21" customFormat="1" ht="15.75" x14ac:dyDescent="0.25">
      <c r="A69" s="20"/>
      <c r="J69" s="19"/>
    </row>
    <row r="70" spans="1:10" s="21" customFormat="1" ht="15.75" x14ac:dyDescent="0.25">
      <c r="A70" s="20"/>
      <c r="J70" s="19"/>
    </row>
    <row r="71" spans="1:10" s="21" customFormat="1" ht="15.75" x14ac:dyDescent="0.25">
      <c r="A71" s="20"/>
      <c r="J71" s="19"/>
    </row>
    <row r="72" spans="1:10" s="21" customFormat="1" ht="15.75" x14ac:dyDescent="0.25">
      <c r="A72" s="20"/>
      <c r="J72" s="19"/>
    </row>
    <row r="73" spans="1:10" s="21" customFormat="1" ht="15.75" x14ac:dyDescent="0.25">
      <c r="A73" s="20"/>
      <c r="J73" s="19"/>
    </row>
    <row r="74" spans="1:10" s="21" customFormat="1" ht="15.75" x14ac:dyDescent="0.25">
      <c r="A74" s="20"/>
      <c r="J74" s="19"/>
    </row>
    <row r="75" spans="1:10" s="21" customFormat="1" ht="15.75" x14ac:dyDescent="0.25">
      <c r="A75" s="20"/>
      <c r="J75" s="19"/>
    </row>
    <row r="76" spans="1:10" s="21" customFormat="1" ht="15.75" x14ac:dyDescent="0.25">
      <c r="A76" s="20"/>
      <c r="J76" s="19"/>
    </row>
    <row r="77" spans="1:10" s="21" customFormat="1" ht="15.75" x14ac:dyDescent="0.25">
      <c r="A77" s="20"/>
      <c r="J77" s="19"/>
    </row>
    <row r="78" spans="1:10" s="21" customFormat="1" ht="15.75" x14ac:dyDescent="0.25">
      <c r="A78" s="20"/>
      <c r="J78" s="19"/>
    </row>
    <row r="79" spans="1:10" s="21" customFormat="1" ht="15.75" x14ac:dyDescent="0.25">
      <c r="A79" s="20"/>
      <c r="J79" s="19"/>
    </row>
    <row r="80" spans="1:10" s="21" customFormat="1" ht="15.75" x14ac:dyDescent="0.25">
      <c r="A80" s="20"/>
      <c r="J80" s="19"/>
    </row>
    <row r="81" spans="1:10" s="21" customFormat="1" ht="15.75" x14ac:dyDescent="0.25">
      <c r="A81" s="20"/>
      <c r="J81" s="19"/>
    </row>
    <row r="82" spans="1:10" s="21" customFormat="1" ht="15.75" x14ac:dyDescent="0.25">
      <c r="A82" s="20"/>
      <c r="J82" s="19"/>
    </row>
    <row r="83" spans="1:10" s="21" customFormat="1" ht="15.75" x14ac:dyDescent="0.25">
      <c r="A83" s="20"/>
      <c r="J83" s="19"/>
    </row>
    <row r="84" spans="1:10" s="21" customFormat="1" ht="15.75" x14ac:dyDescent="0.25">
      <c r="A84" s="20"/>
      <c r="J84" s="19"/>
    </row>
    <row r="85" spans="1:10" s="21" customFormat="1" ht="15.75" x14ac:dyDescent="0.25">
      <c r="A85" s="20"/>
      <c r="J85" s="19"/>
    </row>
    <row r="86" spans="1:10" s="21" customFormat="1" ht="15.75" x14ac:dyDescent="0.25">
      <c r="A86" s="20"/>
      <c r="J86" s="19"/>
    </row>
    <row r="87" spans="1:10" s="21" customFormat="1" ht="15.75" x14ac:dyDescent="0.25">
      <c r="A87" s="20"/>
      <c r="J87" s="19"/>
    </row>
    <row r="88" spans="1:10" s="21" customFormat="1" ht="15.75" x14ac:dyDescent="0.25">
      <c r="A88" s="20"/>
      <c r="J88" s="19"/>
    </row>
    <row r="89" spans="1:10" s="21" customFormat="1" ht="15.75" x14ac:dyDescent="0.25">
      <c r="A89" s="20"/>
      <c r="J89" s="19"/>
    </row>
    <row r="90" spans="1:10" s="21" customFormat="1" ht="15.75" x14ac:dyDescent="0.25">
      <c r="A90" s="20"/>
      <c r="J90" s="19"/>
    </row>
    <row r="91" spans="1:10" s="21" customFormat="1" ht="15.75" x14ac:dyDescent="0.25">
      <c r="A91" s="20"/>
      <c r="J91" s="19"/>
    </row>
    <row r="92" spans="1:10" s="21" customFormat="1" ht="15.75" x14ac:dyDescent="0.25">
      <c r="A92" s="20"/>
      <c r="J92" s="19"/>
    </row>
    <row r="93" spans="1:10" s="21" customFormat="1" ht="15.75" x14ac:dyDescent="0.25">
      <c r="A93" s="20"/>
      <c r="J93" s="19"/>
    </row>
    <row r="94" spans="1:10" s="21" customFormat="1" ht="15.75" x14ac:dyDescent="0.25">
      <c r="A94" s="20"/>
      <c r="J94" s="19"/>
    </row>
    <row r="95" spans="1:10" s="21" customFormat="1" ht="15.75" x14ac:dyDescent="0.25">
      <c r="A95" s="20"/>
      <c r="J95" s="19"/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6DBA1-58A8-456A-A434-546DE3F8D86C}">
  <dimension ref="A1:O12"/>
  <sheetViews>
    <sheetView workbookViewId="0">
      <selection activeCell="H1" sqref="H1"/>
    </sheetView>
  </sheetViews>
  <sheetFormatPr defaultRowHeight="15" x14ac:dyDescent="0.25"/>
  <cols>
    <col min="1" max="1" width="19.7109375" bestFit="1" customWidth="1"/>
    <col min="3" max="3" width="9.140625" style="13"/>
    <col min="5" max="5" width="6.7109375" customWidth="1"/>
    <col min="6" max="6" width="20.85546875" bestFit="1" customWidth="1"/>
    <col min="8" max="8" width="24.85546875" style="18" bestFit="1" customWidth="1"/>
  </cols>
  <sheetData>
    <row r="1" spans="1:15" x14ac:dyDescent="0.25">
      <c r="A1" t="s">
        <v>10</v>
      </c>
      <c r="C1" s="13" t="str" cm="1">
        <f t="array" ref="C1:C3">_xlfn.UNIQUE(Sessions!I:I)</f>
        <v>Year</v>
      </c>
      <c r="E1" s="1" t="s">
        <v>19</v>
      </c>
      <c r="F1" s="1" t="s">
        <v>28</v>
      </c>
      <c r="H1" s="18" t="str" cm="1">
        <f t="array" ref="H1:H7">_xlfn.UNIQUE(Performance[[#All],[Exercise_Name]])</f>
        <v>Exercise_Name</v>
      </c>
      <c r="K1">
        <v>1</v>
      </c>
      <c r="L1" t="s">
        <v>193</v>
      </c>
      <c r="N1">
        <v>1</v>
      </c>
      <c r="O1" t="s">
        <v>206</v>
      </c>
    </row>
    <row r="2" spans="1:15" x14ac:dyDescent="0.25">
      <c r="A2" t="s">
        <v>11</v>
      </c>
      <c r="C2" s="13">
        <v>2026</v>
      </c>
      <c r="E2" s="1">
        <v>10</v>
      </c>
      <c r="F2" s="1" t="s">
        <v>22</v>
      </c>
      <c r="H2" s="18" t="str">
        <v>Hip bridge from the ground</v>
      </c>
      <c r="K2">
        <v>2</v>
      </c>
      <c r="L2" t="s">
        <v>194</v>
      </c>
      <c r="N2">
        <v>2</v>
      </c>
      <c r="O2" t="s">
        <v>207</v>
      </c>
    </row>
    <row r="3" spans="1:15" x14ac:dyDescent="0.25">
      <c r="A3" t="s">
        <v>12</v>
      </c>
      <c r="C3" s="13">
        <v>0</v>
      </c>
      <c r="E3" s="1">
        <v>9</v>
      </c>
      <c r="F3" s="1" t="s">
        <v>23</v>
      </c>
      <c r="H3" s="18" t="str">
        <v>Barbell squat</v>
      </c>
      <c r="K3">
        <v>3</v>
      </c>
      <c r="L3" t="s">
        <v>195</v>
      </c>
      <c r="N3">
        <v>3</v>
      </c>
      <c r="O3" t="s">
        <v>208</v>
      </c>
    </row>
    <row r="4" spans="1:15" x14ac:dyDescent="0.25">
      <c r="A4" t="s">
        <v>13</v>
      </c>
      <c r="E4" s="1">
        <v>8</v>
      </c>
      <c r="F4" s="1" t="s">
        <v>24</v>
      </c>
      <c r="H4" s="18" t="str">
        <v>RDL one leg</v>
      </c>
      <c r="K4">
        <v>4</v>
      </c>
      <c r="L4" t="s">
        <v>196</v>
      </c>
      <c r="N4">
        <v>4</v>
      </c>
      <c r="O4" t="s">
        <v>209</v>
      </c>
    </row>
    <row r="5" spans="1:15" x14ac:dyDescent="0.25">
      <c r="A5" t="s">
        <v>14</v>
      </c>
      <c r="E5" s="1">
        <v>7</v>
      </c>
      <c r="F5" s="1" t="s">
        <v>25</v>
      </c>
      <c r="H5" s="18" t="str">
        <v>Calf raises</v>
      </c>
      <c r="K5">
        <v>5</v>
      </c>
      <c r="L5" t="s">
        <v>197</v>
      </c>
      <c r="N5">
        <v>5</v>
      </c>
      <c r="O5" t="s">
        <v>210</v>
      </c>
    </row>
    <row r="6" spans="1:15" x14ac:dyDescent="0.25">
      <c r="A6" t="s">
        <v>15</v>
      </c>
      <c r="E6" s="1">
        <v>6</v>
      </c>
      <c r="F6" s="1" t="s">
        <v>26</v>
      </c>
      <c r="H6" s="18" t="str">
        <v>Abdominal wheel</v>
      </c>
      <c r="K6">
        <v>6</v>
      </c>
      <c r="L6" t="s">
        <v>198</v>
      </c>
      <c r="N6">
        <v>6</v>
      </c>
      <c r="O6" t="s">
        <v>211</v>
      </c>
    </row>
    <row r="7" spans="1:15" x14ac:dyDescent="0.25">
      <c r="E7" s="1">
        <v>5</v>
      </c>
      <c r="F7" s="1" t="s">
        <v>27</v>
      </c>
      <c r="H7" s="18" t="str">
        <v>Crunches</v>
      </c>
      <c r="K7">
        <v>7</v>
      </c>
      <c r="L7" t="s">
        <v>199</v>
      </c>
      <c r="N7">
        <v>7</v>
      </c>
      <c r="O7" t="s">
        <v>212</v>
      </c>
    </row>
    <row r="8" spans="1:15" x14ac:dyDescent="0.25">
      <c r="E8" s="1">
        <v>4</v>
      </c>
      <c r="F8" s="1" t="s">
        <v>27</v>
      </c>
      <c r="K8">
        <v>8</v>
      </c>
      <c r="L8" t="s">
        <v>200</v>
      </c>
    </row>
    <row r="9" spans="1:15" x14ac:dyDescent="0.25">
      <c r="E9" s="1">
        <v>3</v>
      </c>
      <c r="F9" s="1" t="s">
        <v>27</v>
      </c>
      <c r="K9">
        <v>9</v>
      </c>
      <c r="L9" t="s">
        <v>201</v>
      </c>
    </row>
    <row r="10" spans="1:15" x14ac:dyDescent="0.25">
      <c r="E10" s="1">
        <v>2</v>
      </c>
      <c r="F10" s="1" t="s">
        <v>27</v>
      </c>
      <c r="K10">
        <v>10</v>
      </c>
      <c r="L10" t="s">
        <v>202</v>
      </c>
    </row>
    <row r="11" spans="1:15" x14ac:dyDescent="0.25">
      <c r="E11" s="1">
        <v>1</v>
      </c>
      <c r="F11" s="1" t="s">
        <v>27</v>
      </c>
      <c r="K11">
        <v>11</v>
      </c>
      <c r="L11" t="s">
        <v>203</v>
      </c>
    </row>
    <row r="12" spans="1:15" x14ac:dyDescent="0.25">
      <c r="E12" s="1">
        <v>0</v>
      </c>
      <c r="F12" s="1" t="s">
        <v>27</v>
      </c>
      <c r="K12">
        <v>12</v>
      </c>
      <c r="L12" t="s">
        <v>204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Dashboard</vt:lpstr>
      <vt:lpstr>Sessions</vt:lpstr>
      <vt:lpstr>Exercises</vt:lpstr>
      <vt:lpstr>Performance</vt:lpstr>
      <vt:lpstr>Weight</vt:lpstr>
      <vt:lpstr>Body_measurements</vt:lpstr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M.</dc:creator>
  <cp:lastModifiedBy>Jakub M.</cp:lastModifiedBy>
  <dcterms:created xsi:type="dcterms:W3CDTF">2026-02-03T10:36:42Z</dcterms:created>
  <dcterms:modified xsi:type="dcterms:W3CDTF">2026-02-07T19:15:52Z</dcterms:modified>
</cp:coreProperties>
</file>